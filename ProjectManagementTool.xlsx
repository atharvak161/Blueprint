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Plan" sheetId="1" state="visible" r:id="rId1"/>
    <sheet name="Resources" sheetId="2" state="visible" r:id="rId2"/>
    <sheet name="Holidays" sheetId="3" state="visible" r:id="rId3"/>
    <sheet name="Stakehol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DD/MM/YYYY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9"/>
    </font>
    <font>
      <name val="Calibri"/>
      <b val="1"/>
      <color rgb="00000000"/>
      <sz val="14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F4E79"/>
      <sz val="9"/>
    </font>
    <font>
      <name val="Calibri"/>
      <b val="1"/>
      <sz val="9"/>
    </font>
    <font>
      <name val="Calibri"/>
      <i val="1"/>
      <color rgb="00000000"/>
      <sz val="9"/>
    </font>
    <font>
      <name val="Calibri"/>
      <b val="1"/>
      <color rgb="00000000"/>
      <sz val="9"/>
    </font>
    <font>
      <name val="Calibri"/>
      <i val="1"/>
      <color rgb="007F4A00"/>
      <sz val="9"/>
    </font>
  </fonts>
  <fills count="1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  <fill>
      <patternFill patternType="solid">
        <fgColor rgb="0000B050"/>
        <bgColor rgb="0000B050"/>
      </patternFill>
    </fill>
    <fill>
      <patternFill patternType="solid">
        <fgColor rgb="00FFB900"/>
        <bgColor rgb="00FFB900"/>
      </patternFill>
    </fill>
    <fill>
      <patternFill patternType="solid">
        <fgColor rgb="00FF0000"/>
        <bgColor rgb="00FF0000"/>
      </patternFill>
    </fill>
    <fill>
      <patternFill patternType="solid">
        <fgColor rgb="007030A0"/>
        <bgColor rgb="007030A0"/>
      </patternFill>
    </fill>
    <fill>
      <patternFill patternType="solid">
        <fgColor rgb="00A5A5A5"/>
        <bgColor rgb="00A5A5A5"/>
      </patternFill>
    </fill>
    <fill>
      <patternFill patternType="solid">
        <fgColor rgb="00375623"/>
        <bgColor rgb="00375623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7F7F7F"/>
        <bgColor rgb="007F7F7F"/>
      </patternFill>
    </fill>
    <fill>
      <patternFill patternType="solid">
        <fgColor rgb="00EBF3FB"/>
        <bgColor rgb="00EBF3FB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indent="1"/>
    </xf>
    <xf numFmtId="166" fontId="9" fillId="2" borderId="1" applyAlignment="1" pivotButton="0" quotePrefix="0" xfId="0">
      <alignment horizontal="left" vertical="center" indent="1"/>
    </xf>
    <xf numFmtId="0" fontId="11" fillId="12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10" fillId="12" borderId="2" pivotButton="0" quotePrefix="0" xfId="0"/>
    <xf numFmtId="0" fontId="10" fillId="12" borderId="2" applyAlignment="1" pivotButton="0" quotePrefix="0" xfId="0">
      <alignment horizontal="left" vertical="center" wrapText="1" indent="1"/>
    </xf>
    <xf numFmtId="166" fontId="10" fillId="12" borderId="2" pivotButton="0" quotePrefix="0" xfId="0"/>
    <xf numFmtId="9" fontId="12" fillId="12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left" vertical="center" wrapText="1"/>
    </xf>
    <xf numFmtId="0" fontId="11" fillId="13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13" fillId="13" borderId="2" pivotButton="0" quotePrefix="0" xfId="0"/>
    <xf numFmtId="0" fontId="13" fillId="13" borderId="2" applyAlignment="1" pivotButton="0" quotePrefix="0" xfId="0">
      <alignment horizontal="left" vertical="center" wrapText="1" indent="2"/>
    </xf>
    <xf numFmtId="166" fontId="13" fillId="13" borderId="2" pivotButton="0" quotePrefix="0" xfId="0"/>
    <xf numFmtId="9" fontId="12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left" vertical="center" indent="1"/>
    </xf>
    <xf numFmtId="0" fontId="5" fillId="5" borderId="2" applyAlignment="1" pivotButton="0" quotePrefix="0" xfId="0">
      <alignment horizontal="left" vertical="center" indent="1"/>
    </xf>
    <xf numFmtId="0" fontId="15" fillId="4" borderId="0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horizontal="center" vertical="center"/>
    </xf>
    <xf numFmtId="166" fontId="5" fillId="12" borderId="2" applyAlignment="1" pivotButton="0" quotePrefix="0" xfId="0">
      <alignment horizontal="left" vertical="center" indent="1"/>
    </xf>
    <xf numFmtId="0" fontId="5" fillId="15" borderId="2" applyAlignment="1" pivotButton="0" quotePrefix="0" xfId="0">
      <alignment horizontal="left" vertical="center" indent="1"/>
    </xf>
    <xf numFmtId="166" fontId="5" fillId="15" borderId="2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J152"/>
  <sheetViews>
    <sheetView showGridLines="1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45" customWidth="1" min="4" max="4"/>
    <col width="14" customWidth="1" min="5" max="5"/>
    <col width="14" customWidth="1" min="6" max="6"/>
    <col width="22" customWidth="1" min="7" max="7"/>
    <col width="10" customWidth="1" min="8" max="8"/>
    <col width="14" customWidth="1" min="9" max="9"/>
    <col width="40" customWidth="1" min="10" max="10"/>
  </cols>
  <sheetData>
    <row r="1" ht="36" customHeight="1">
      <c r="A1" s="1" t="inlineStr">
        <is>
          <t>PROJECT MANAGEMENT PLAN</t>
        </is>
      </c>
    </row>
    <row r="2" ht="28" customHeight="1">
      <c r="A2" s="2" t="inlineStr">
        <is>
          <t>Project Name:</t>
        </is>
      </c>
      <c r="E2" s="3" t="inlineStr">
        <is>
          <t>Digital Transformation Programme</t>
        </is>
      </c>
    </row>
    <row r="3" ht="24" customHeight="1">
      <c r="A3" s="4" t="inlineStr">
        <is>
          <t>Project Start:</t>
        </is>
      </c>
      <c r="C3" s="5" t="inlineStr">
        <is>
          <t>03/03/2025</t>
        </is>
      </c>
      <c r="E3" s="4" t="inlineStr">
        <is>
          <t>Project End:</t>
        </is>
      </c>
      <c r="G3" s="5">
        <f>TEXT(MAX(F12:F500),"DD/MM/YYYY")</f>
        <v/>
      </c>
      <c r="I3" s="4" t="inlineStr">
        <is>
          <t>Last Updated:</t>
        </is>
      </c>
      <c r="J3" s="5" t="inlineStr">
        <is>
          <t>05/06/2026</t>
        </is>
      </c>
    </row>
    <row r="4" ht="22" customHeight="1">
      <c r="A4" s="6" t="inlineStr">
        <is>
          <t>Total Tasks</t>
        </is>
      </c>
      <c r="B4" s="6" t="inlineStr">
        <is>
          <t>Completed</t>
        </is>
      </c>
      <c r="C4" s="6" t="inlineStr">
        <is>
          <t>In Progress</t>
        </is>
      </c>
      <c r="D4" s="6" t="inlineStr">
        <is>
          <t>Overdue</t>
        </is>
      </c>
      <c r="E4" s="6" t="inlineStr">
        <is>
          <t>Blocked</t>
        </is>
      </c>
      <c r="F4" s="6" t="inlineStr">
        <is>
          <t>% Complete</t>
        </is>
      </c>
      <c r="G4" s="7" t="inlineStr">
        <is>
          <t>STATUS SUMMARY</t>
        </is>
      </c>
    </row>
    <row r="5" ht="28" customHeight="1">
      <c r="A5" s="8">
        <f>COUNTIF(B12:B500,"Task")+COUNTIF(B12:B500,"Subtask")</f>
        <v/>
      </c>
      <c r="B5" s="9">
        <f>COUNTIF(I12:I500,"Completed")</f>
        <v/>
      </c>
      <c r="C5" s="10">
        <f>COUNTIF(I12:I500,"In Progress")</f>
        <v/>
      </c>
      <c r="D5" s="11">
        <f>COUNTIF(I12:I500,"Overdue")</f>
        <v/>
      </c>
      <c r="E5" s="12">
        <f>COUNTIF(I12:I500,"Blocked")</f>
        <v/>
      </c>
      <c r="F5" s="13">
        <f>IFERROR(COUNTIF(I12:I500,"Completed")/(COUNTIF(B12:B500,"Task")+COUNTIF(B12:B500,"Subtask")),0)</f>
        <v/>
      </c>
    </row>
    <row r="6" ht="18" customHeight="1"/>
    <row r="7" ht="20" customHeight="1">
      <c r="A7" s="14" t="inlineStr">
        <is>
          <t>● Not Started</t>
        </is>
      </c>
      <c r="C7" s="15" t="inlineStr">
        <is>
          <t>● In Progress</t>
        </is>
      </c>
      <c r="E7" s="16" t="inlineStr">
        <is>
          <t>● Completed</t>
        </is>
      </c>
      <c r="G7" s="17" t="inlineStr">
        <is>
          <t>● Overdue</t>
        </is>
      </c>
      <c r="I7" s="18" t="inlineStr">
        <is>
          <t>● Blocked</t>
        </is>
      </c>
    </row>
    <row r="8" ht="10" customHeight="1"/>
    <row r="9" ht="32" customHeight="1">
      <c r="B9" s="19" t="inlineStr">
        <is>
          <t>EXPORT GANTT CHART</t>
        </is>
      </c>
      <c r="E9" s="20" t="inlineStr">
        <is>
          <t>EXPORT DASHBOARD</t>
        </is>
      </c>
      <c r="H9" s="21" t="inlineStr">
        <is>
          <t>EXPORT RAG REPORT</t>
        </is>
      </c>
    </row>
    <row r="10" ht="10" customHeight="1"/>
    <row r="11" ht="28" customHeight="1">
      <c r="A11" s="22" t="inlineStr">
        <is>
          <t>ID</t>
        </is>
      </c>
      <c r="B11" s="22" t="inlineStr">
        <is>
          <t>Task Type</t>
        </is>
      </c>
      <c r="C11" s="22" t="inlineStr">
        <is>
          <t>Phase</t>
        </is>
      </c>
      <c r="D11" s="22" t="inlineStr">
        <is>
          <t>Task / Subtask Description</t>
        </is>
      </c>
      <c r="E11" s="22" t="inlineStr">
        <is>
          <t>Planned Start</t>
        </is>
      </c>
      <c r="F11" s="22" t="inlineStr">
        <is>
          <t>Planned End</t>
        </is>
      </c>
      <c r="G11" s="22" t="inlineStr">
        <is>
          <t>Resource</t>
        </is>
      </c>
      <c r="H11" s="22" t="inlineStr">
        <is>
          <t>% Done</t>
        </is>
      </c>
      <c r="I11" s="22" t="inlineStr">
        <is>
          <t>Status</t>
        </is>
      </c>
      <c r="J11" s="22" t="inlineStr">
        <is>
          <t>Notes / Blockers</t>
        </is>
      </c>
    </row>
    <row r="12" ht="24" customHeight="1">
      <c r="A12" s="23" t="inlineStr"/>
      <c r="B12" s="23" t="inlineStr">
        <is>
          <t>Phase</t>
        </is>
      </c>
      <c r="C12" s="23" t="inlineStr">
        <is>
          <t>Phase 1: Project Initiation</t>
        </is>
      </c>
      <c r="D12" s="23" t="inlineStr">
        <is>
          <t>Phase 1: Project Initiation</t>
        </is>
      </c>
      <c r="E12" s="24" t="n">
        <v>45719</v>
      </c>
      <c r="F12" s="24" t="n">
        <v>45733</v>
      </c>
      <c r="G12" s="23" t="inlineStr"/>
      <c r="H12" s="23" t="inlineStr"/>
      <c r="I12" s="23" t="inlineStr"/>
      <c r="J12" s="23" t="inlineStr"/>
    </row>
    <row r="13" outlineLevel="1" ht="20" customHeight="1">
      <c r="A13" s="25" t="n">
        <v>1</v>
      </c>
      <c r="B13" s="26" t="inlineStr">
        <is>
          <t>Task</t>
        </is>
      </c>
      <c r="C13" s="27" t="inlineStr">
        <is>
          <t>Phase 1: Project Initiation</t>
        </is>
      </c>
      <c r="D13" s="28" t="inlineStr">
        <is>
          <t>Project Charter Development</t>
        </is>
      </c>
      <c r="E13" s="29" t="n">
        <v>45719</v>
      </c>
      <c r="F13" s="29" t="n">
        <v>45723</v>
      </c>
      <c r="G13" s="27" t="inlineStr">
        <is>
          <t>James Thornton</t>
        </is>
      </c>
      <c r="H13" s="30" t="n">
        <v>1</v>
      </c>
      <c r="I13" s="31" t="inlineStr">
        <is>
          <t>Completed</t>
        </is>
      </c>
      <c r="J13" s="32" t="inlineStr">
        <is>
          <t>Approved by Sponsor</t>
        </is>
      </c>
    </row>
    <row r="14" outlineLevel="1" ht="20" customHeight="1">
      <c r="A14" s="33" t="n">
        <v>2</v>
      </c>
      <c r="B14" s="34" t="inlineStr">
        <is>
          <t>Subtask</t>
        </is>
      </c>
      <c r="C14" s="35" t="inlineStr">
        <is>
          <t>Phase 1: Project Initiation</t>
        </is>
      </c>
      <c r="D14" s="36" t="inlineStr">
        <is>
          <t xml:space="preserve">    ↳  Draft project charter document</t>
        </is>
      </c>
      <c r="E14" s="37" t="n">
        <v>45726</v>
      </c>
      <c r="F14" s="37" t="n">
        <v>45727</v>
      </c>
      <c r="G14" s="35" t="inlineStr">
        <is>
          <t>James Thornton</t>
        </is>
      </c>
      <c r="H14" s="38" t="n">
        <v>1</v>
      </c>
      <c r="I14" s="31" t="inlineStr">
        <is>
          <t>Completed</t>
        </is>
      </c>
      <c r="J14" s="39" t="inlineStr"/>
    </row>
    <row r="15" outlineLevel="1" ht="20" customHeight="1">
      <c r="A15" s="33" t="n">
        <v>3</v>
      </c>
      <c r="B15" s="34" t="inlineStr">
        <is>
          <t>Subtask</t>
        </is>
      </c>
      <c r="C15" s="35" t="inlineStr">
        <is>
          <t>Phase 1: Project Initiation</t>
        </is>
      </c>
      <c r="D15" s="36" t="inlineStr">
        <is>
          <t xml:space="preserve">    ↳  Stakeholder review &amp; feedback</t>
        </is>
      </c>
      <c r="E15" s="37" t="n">
        <v>45726</v>
      </c>
      <c r="F15" s="37" t="n">
        <v>45727</v>
      </c>
      <c r="G15" s="35" t="inlineStr">
        <is>
          <t>George Harris</t>
        </is>
      </c>
      <c r="H15" s="38" t="n">
        <v>1</v>
      </c>
      <c r="I15" s="31" t="inlineStr">
        <is>
          <t>Completed</t>
        </is>
      </c>
      <c r="J15" s="39" t="inlineStr"/>
    </row>
    <row r="16" outlineLevel="1" ht="20" customHeight="1">
      <c r="A16" s="33" t="n">
        <v>4</v>
      </c>
      <c r="B16" s="34" t="inlineStr">
        <is>
          <t>Subtask</t>
        </is>
      </c>
      <c r="C16" s="35" t="inlineStr">
        <is>
          <t>Phase 1: Project Initiation</t>
        </is>
      </c>
      <c r="D16" s="36" t="inlineStr">
        <is>
          <t xml:space="preserve">    ↳  Final sign-off obtained</t>
        </is>
      </c>
      <c r="E16" s="37" t="n">
        <v>45726</v>
      </c>
      <c r="F16" s="37" t="n">
        <v>45726</v>
      </c>
      <c r="G16" s="35" t="inlineStr">
        <is>
          <t>Archie Martin</t>
        </is>
      </c>
      <c r="H16" s="38" t="n">
        <v>1</v>
      </c>
      <c r="I16" s="31" t="inlineStr">
        <is>
          <t>Completed</t>
        </is>
      </c>
      <c r="J16" s="39" t="inlineStr"/>
    </row>
    <row r="17" outlineLevel="1" ht="20" customHeight="1">
      <c r="A17" s="25" t="n">
        <v>5</v>
      </c>
      <c r="B17" s="26" t="inlineStr">
        <is>
          <t>Task</t>
        </is>
      </c>
      <c r="C17" s="27" t="inlineStr">
        <is>
          <t>Phase 1: Project Initiation</t>
        </is>
      </c>
      <c r="D17" s="28" t="inlineStr">
        <is>
          <t>Stakeholder Identification</t>
        </is>
      </c>
      <c r="E17" s="29" t="n">
        <v>45726</v>
      </c>
      <c r="F17" s="29" t="n">
        <v>45728</v>
      </c>
      <c r="G17" s="27" t="inlineStr">
        <is>
          <t>Sarah Mitchell</t>
        </is>
      </c>
      <c r="H17" s="30" t="n">
        <v>1</v>
      </c>
      <c r="I17" s="31" t="inlineStr">
        <is>
          <t>Completed</t>
        </is>
      </c>
      <c r="J17" s="32" t="inlineStr"/>
    </row>
    <row r="18" outlineLevel="1" ht="20" customHeight="1">
      <c r="A18" s="33" t="n">
        <v>6</v>
      </c>
      <c r="B18" s="34" t="inlineStr">
        <is>
          <t>Subtask</t>
        </is>
      </c>
      <c r="C18" s="35" t="inlineStr">
        <is>
          <t>Phase 1: Project Initiation</t>
        </is>
      </c>
      <c r="D18" s="36" t="inlineStr">
        <is>
          <t xml:space="preserve">    ↳  Map key stakeholders</t>
        </is>
      </c>
      <c r="E18" s="37" t="n">
        <v>45729</v>
      </c>
      <c r="F18" s="37" t="n">
        <v>45729</v>
      </c>
      <c r="G18" s="35" t="inlineStr">
        <is>
          <t>Amelia Wilson</t>
        </is>
      </c>
      <c r="H18" s="38" t="n">
        <v>1</v>
      </c>
      <c r="I18" s="31" t="inlineStr">
        <is>
          <t>Completed</t>
        </is>
      </c>
      <c r="J18" s="39" t="inlineStr"/>
    </row>
    <row r="19" outlineLevel="1" ht="20" customHeight="1">
      <c r="A19" s="33" t="n">
        <v>7</v>
      </c>
      <c r="B19" s="34" t="inlineStr">
        <is>
          <t>Subtask</t>
        </is>
      </c>
      <c r="C19" s="35" t="inlineStr">
        <is>
          <t>Phase 1: Project Initiation</t>
        </is>
      </c>
      <c r="D19" s="36" t="inlineStr">
        <is>
          <t xml:space="preserve">    ↳  Define RACI matrix</t>
        </is>
      </c>
      <c r="E19" s="37" t="n">
        <v>45729</v>
      </c>
      <c r="F19" s="37" t="n">
        <v>45730</v>
      </c>
      <c r="G19" s="35" t="inlineStr">
        <is>
          <t>James Thornton</t>
        </is>
      </c>
      <c r="H19" s="38" t="n">
        <v>1</v>
      </c>
      <c r="I19" s="31" t="inlineStr">
        <is>
          <t>Completed</t>
        </is>
      </c>
      <c r="J19" s="39" t="inlineStr"/>
    </row>
    <row r="20" outlineLevel="1" ht="20" customHeight="1">
      <c r="A20" s="25" t="n">
        <v>8</v>
      </c>
      <c r="B20" s="26" t="inlineStr">
        <is>
          <t>Task</t>
        </is>
      </c>
      <c r="C20" s="27" t="inlineStr">
        <is>
          <t>Phase 1: Project Initiation</t>
        </is>
      </c>
      <c r="D20" s="28" t="inlineStr">
        <is>
          <t>Kick-off Meeting</t>
        </is>
      </c>
      <c r="E20" s="29" t="n">
        <v>45729</v>
      </c>
      <c r="F20" s="29" t="n">
        <v>45729</v>
      </c>
      <c r="G20" s="27" t="inlineStr">
        <is>
          <t>James Thornton</t>
        </is>
      </c>
      <c r="H20" s="30" t="n">
        <v>1</v>
      </c>
      <c r="I20" s="31" t="inlineStr">
        <is>
          <t>Completed</t>
        </is>
      </c>
      <c r="J20" s="32" t="inlineStr">
        <is>
          <t>All stakeholders attended</t>
        </is>
      </c>
    </row>
    <row r="21" outlineLevel="1" ht="20" customHeight="1">
      <c r="A21" s="25" t="n">
        <v>9</v>
      </c>
      <c r="B21" s="26" t="inlineStr">
        <is>
          <t>Task</t>
        </is>
      </c>
      <c r="C21" s="27" t="inlineStr">
        <is>
          <t>Phase 1: Project Initiation</t>
        </is>
      </c>
      <c r="D21" s="28" t="inlineStr">
        <is>
          <t>Project Governance Setup</t>
        </is>
      </c>
      <c r="E21" s="29" t="n">
        <v>45730</v>
      </c>
      <c r="F21" s="29" t="n">
        <v>45733</v>
      </c>
      <c r="G21" s="27" t="inlineStr">
        <is>
          <t>James Thornton</t>
        </is>
      </c>
      <c r="H21" s="30" t="n">
        <v>1</v>
      </c>
      <c r="I21" s="31" t="inlineStr">
        <is>
          <t>Completed</t>
        </is>
      </c>
      <c r="J21" s="32" t="inlineStr"/>
    </row>
    <row r="22" ht="24" customHeight="1">
      <c r="A22" s="23" t="inlineStr"/>
      <c r="B22" s="23" t="inlineStr">
        <is>
          <t>Phase</t>
        </is>
      </c>
      <c r="C22" s="23" t="inlineStr">
        <is>
          <t>Phase 2: Requirements Gathering</t>
        </is>
      </c>
      <c r="D22" s="23" t="inlineStr">
        <is>
          <t>Phase 2: Requirements Gathering</t>
        </is>
      </c>
      <c r="E22" s="24" t="n">
        <v>45734</v>
      </c>
      <c r="F22" s="24" t="n">
        <v>45749</v>
      </c>
      <c r="G22" s="23" t="inlineStr"/>
      <c r="H22" s="23" t="inlineStr"/>
      <c r="I22" s="23" t="inlineStr"/>
      <c r="J22" s="23" t="inlineStr"/>
    </row>
    <row r="23" outlineLevel="1" ht="20" customHeight="1">
      <c r="A23" s="25" t="n">
        <v>10</v>
      </c>
      <c r="B23" s="26" t="inlineStr">
        <is>
          <t>Task</t>
        </is>
      </c>
      <c r="C23" s="27" t="inlineStr">
        <is>
          <t>Phase 2: Requirements Gathering</t>
        </is>
      </c>
      <c r="D23" s="28" t="inlineStr">
        <is>
          <t>Business Requirements Workshop</t>
        </is>
      </c>
      <c r="E23" s="29" t="n">
        <v>45734</v>
      </c>
      <c r="F23" s="29" t="n">
        <v>45736</v>
      </c>
      <c r="G23" s="27" t="inlineStr">
        <is>
          <t>Amelia Wilson</t>
        </is>
      </c>
      <c r="H23" s="30" t="n">
        <v>1</v>
      </c>
      <c r="I23" s="31" t="inlineStr">
        <is>
          <t>Completed</t>
        </is>
      </c>
      <c r="J23" s="32" t="inlineStr"/>
    </row>
    <row r="24" outlineLevel="1" ht="20" customHeight="1">
      <c r="A24" s="33" t="n">
        <v>11</v>
      </c>
      <c r="B24" s="34" t="inlineStr">
        <is>
          <t>Subtask</t>
        </is>
      </c>
      <c r="C24" s="35" t="inlineStr">
        <is>
          <t>Phase 2: Requirements Gathering</t>
        </is>
      </c>
      <c r="D24" s="36" t="inlineStr">
        <is>
          <t xml:space="preserve">    ↳  Facilitated workshop session</t>
        </is>
      </c>
      <c r="E24" s="37" t="n">
        <v>45737</v>
      </c>
      <c r="F24" s="37" t="n">
        <v>45737</v>
      </c>
      <c r="G24" s="35" t="inlineStr">
        <is>
          <t>Amelia Wilson</t>
        </is>
      </c>
      <c r="H24" s="38" t="n">
        <v>1</v>
      </c>
      <c r="I24" s="31" t="inlineStr">
        <is>
          <t>Completed</t>
        </is>
      </c>
      <c r="J24" s="39" t="inlineStr"/>
    </row>
    <row r="25" outlineLevel="1" ht="20" customHeight="1">
      <c r="A25" s="33" t="n">
        <v>12</v>
      </c>
      <c r="B25" s="34" t="inlineStr">
        <is>
          <t>Subtask</t>
        </is>
      </c>
      <c r="C25" s="35" t="inlineStr">
        <is>
          <t>Phase 2: Requirements Gathering</t>
        </is>
      </c>
      <c r="D25" s="36" t="inlineStr">
        <is>
          <t xml:space="preserve">    ↳  Document functional requirements</t>
        </is>
      </c>
      <c r="E25" s="37" t="n">
        <v>45737</v>
      </c>
      <c r="F25" s="37" t="n">
        <v>45740</v>
      </c>
      <c r="G25" s="35" t="inlineStr">
        <is>
          <t>Amelia Wilson</t>
        </is>
      </c>
      <c r="H25" s="38" t="n">
        <v>1</v>
      </c>
      <c r="I25" s="31" t="inlineStr">
        <is>
          <t>Completed</t>
        </is>
      </c>
      <c r="J25" s="39" t="inlineStr"/>
    </row>
    <row r="26" outlineLevel="1" ht="20" customHeight="1">
      <c r="A26" s="25" t="n">
        <v>13</v>
      </c>
      <c r="B26" s="26" t="inlineStr">
        <is>
          <t>Task</t>
        </is>
      </c>
      <c r="C26" s="27" t="inlineStr">
        <is>
          <t>Phase 2: Requirements Gathering</t>
        </is>
      </c>
      <c r="D26" s="28" t="inlineStr">
        <is>
          <t>Technical Requirements Review</t>
        </is>
      </c>
      <c r="E26" s="29" t="n">
        <v>45737</v>
      </c>
      <c r="F26" s="29" t="n">
        <v>45742</v>
      </c>
      <c r="G26" s="27" t="inlineStr">
        <is>
          <t>David Patel</t>
        </is>
      </c>
      <c r="H26" s="30" t="n">
        <v>1</v>
      </c>
      <c r="I26" s="31" t="inlineStr">
        <is>
          <t>Completed</t>
        </is>
      </c>
      <c r="J26" s="32" t="inlineStr"/>
    </row>
    <row r="27" outlineLevel="1" ht="20" customHeight="1">
      <c r="A27" s="33" t="n">
        <v>14</v>
      </c>
      <c r="B27" s="34" t="inlineStr">
        <is>
          <t>Subtask</t>
        </is>
      </c>
      <c r="C27" s="35" t="inlineStr">
        <is>
          <t>Phase 2: Requirements Gathering</t>
        </is>
      </c>
      <c r="D27" s="36" t="inlineStr">
        <is>
          <t xml:space="preserve">    ↳  Architecture feasibility analysis</t>
        </is>
      </c>
      <c r="E27" s="37" t="n">
        <v>45743</v>
      </c>
      <c r="F27" s="37" t="n">
        <v>45744</v>
      </c>
      <c r="G27" s="35" t="inlineStr">
        <is>
          <t>David Patel</t>
        </is>
      </c>
      <c r="H27" s="38" t="n">
        <v>1</v>
      </c>
      <c r="I27" s="31" t="inlineStr">
        <is>
          <t>Completed</t>
        </is>
      </c>
      <c r="J27" s="39" t="inlineStr"/>
    </row>
    <row r="28" outlineLevel="1" ht="20" customHeight="1">
      <c r="A28" s="33" t="n">
        <v>15</v>
      </c>
      <c r="B28" s="34" t="inlineStr">
        <is>
          <t>Subtask</t>
        </is>
      </c>
      <c r="C28" s="35" t="inlineStr">
        <is>
          <t>Phase 2: Requirements Gathering</t>
        </is>
      </c>
      <c r="D28" s="36" t="inlineStr">
        <is>
          <t xml:space="preserve">    ↳  Non-functional requirements doc</t>
        </is>
      </c>
      <c r="E28" s="37" t="n">
        <v>45743</v>
      </c>
      <c r="F28" s="37" t="n">
        <v>45744</v>
      </c>
      <c r="G28" s="35" t="inlineStr">
        <is>
          <t>Emma Clarke</t>
        </is>
      </c>
      <c r="H28" s="38" t="n">
        <v>1</v>
      </c>
      <c r="I28" s="31" t="inlineStr">
        <is>
          <t>Completed</t>
        </is>
      </c>
      <c r="J28" s="39" t="inlineStr"/>
    </row>
    <row r="29" outlineLevel="1" ht="20" customHeight="1">
      <c r="A29" s="25" t="n">
        <v>16</v>
      </c>
      <c r="B29" s="26" t="inlineStr">
        <is>
          <t>Task</t>
        </is>
      </c>
      <c r="C29" s="27" t="inlineStr">
        <is>
          <t>Phase 2: Requirements Gathering</t>
        </is>
      </c>
      <c r="D29" s="28" t="inlineStr">
        <is>
          <t>Requirements Sign-off Document</t>
        </is>
      </c>
      <c r="E29" s="29" t="n">
        <v>45743</v>
      </c>
      <c r="F29" s="29" t="n">
        <v>45744</v>
      </c>
      <c r="G29" s="27" t="inlineStr">
        <is>
          <t>George Harris</t>
        </is>
      </c>
      <c r="H29" s="30" t="n">
        <v>1</v>
      </c>
      <c r="I29" s="31" t="inlineStr">
        <is>
          <t>Completed</t>
        </is>
      </c>
      <c r="J29" s="32" t="inlineStr">
        <is>
          <t>Approved</t>
        </is>
      </c>
    </row>
    <row r="30" outlineLevel="1" ht="20" customHeight="1">
      <c r="A30" s="25" t="n">
        <v>17</v>
      </c>
      <c r="B30" s="26" t="inlineStr">
        <is>
          <t>Task</t>
        </is>
      </c>
      <c r="C30" s="27" t="inlineStr">
        <is>
          <t>Phase 2: Requirements Gathering</t>
        </is>
      </c>
      <c r="D30" s="28" t="inlineStr">
        <is>
          <t>Gap Analysis Report</t>
        </is>
      </c>
      <c r="E30" s="29" t="n">
        <v>45747</v>
      </c>
      <c r="F30" s="29" t="n">
        <v>45749</v>
      </c>
      <c r="G30" s="27" t="inlineStr">
        <is>
          <t>Amelia Wilson</t>
        </is>
      </c>
      <c r="H30" s="30" t="n">
        <v>1</v>
      </c>
      <c r="I30" s="31" t="inlineStr">
        <is>
          <t>Completed</t>
        </is>
      </c>
      <c r="J30" s="32" t="inlineStr"/>
    </row>
    <row r="31" ht="24" customHeight="1">
      <c r="A31" s="23" t="inlineStr"/>
      <c r="B31" s="23" t="inlineStr">
        <is>
          <t>Phase</t>
        </is>
      </c>
      <c r="C31" s="23" t="inlineStr">
        <is>
          <t>Phase 3: Project Planning</t>
        </is>
      </c>
      <c r="D31" s="23" t="inlineStr">
        <is>
          <t>Phase 3: Project Planning</t>
        </is>
      </c>
      <c r="E31" s="24" t="n">
        <v>45750</v>
      </c>
      <c r="F31" s="24" t="n">
        <v>45778</v>
      </c>
      <c r="G31" s="23" t="inlineStr"/>
      <c r="H31" s="23" t="inlineStr"/>
      <c r="I31" s="23" t="inlineStr"/>
      <c r="J31" s="23" t="inlineStr"/>
    </row>
    <row r="32" outlineLevel="1" ht="20" customHeight="1">
      <c r="A32" s="25" t="n">
        <v>18</v>
      </c>
      <c r="B32" s="26" t="inlineStr">
        <is>
          <t>Task</t>
        </is>
      </c>
      <c r="C32" s="27" t="inlineStr">
        <is>
          <t>Phase 3: Project Planning</t>
        </is>
      </c>
      <c r="D32" s="28" t="inlineStr">
        <is>
          <t>Resource Planning</t>
        </is>
      </c>
      <c r="E32" s="29" t="n">
        <v>45750</v>
      </c>
      <c r="F32" s="29" t="n">
        <v>45754</v>
      </c>
      <c r="G32" s="27" t="inlineStr">
        <is>
          <t>James Thornton</t>
        </is>
      </c>
      <c r="H32" s="30" t="n">
        <v>1</v>
      </c>
      <c r="I32" s="31" t="inlineStr">
        <is>
          <t>Completed</t>
        </is>
      </c>
      <c r="J32" s="32" t="inlineStr"/>
    </row>
    <row r="33" outlineLevel="1" ht="20" customHeight="1">
      <c r="A33" s="33" t="n">
        <v>19</v>
      </c>
      <c r="B33" s="34" t="inlineStr">
        <is>
          <t>Subtask</t>
        </is>
      </c>
      <c r="C33" s="35" t="inlineStr">
        <is>
          <t>Phase 3: Project Planning</t>
        </is>
      </c>
      <c r="D33" s="36" t="inlineStr">
        <is>
          <t xml:space="preserve">    ↳  Identify resource requirements</t>
        </is>
      </c>
      <c r="E33" s="37" t="n">
        <v>45755</v>
      </c>
      <c r="F33" s="37" t="n">
        <v>45755</v>
      </c>
      <c r="G33" s="35" t="inlineStr">
        <is>
          <t>James Thornton</t>
        </is>
      </c>
      <c r="H33" s="38" t="n">
        <v>1</v>
      </c>
      <c r="I33" s="31" t="inlineStr">
        <is>
          <t>Completed</t>
        </is>
      </c>
      <c r="J33" s="39" t="inlineStr"/>
    </row>
    <row r="34" outlineLevel="1" ht="20" customHeight="1">
      <c r="A34" s="33" t="n">
        <v>20</v>
      </c>
      <c r="B34" s="34" t="inlineStr">
        <is>
          <t>Subtask</t>
        </is>
      </c>
      <c r="C34" s="35" t="inlineStr">
        <is>
          <t>Phase 3: Project Planning</t>
        </is>
      </c>
      <c r="D34" s="36" t="inlineStr">
        <is>
          <t xml:space="preserve">    ↳  Confirm resource availability</t>
        </is>
      </c>
      <c r="E34" s="37" t="n">
        <v>45755</v>
      </c>
      <c r="F34" s="37" t="n">
        <v>45756</v>
      </c>
      <c r="G34" s="35" t="inlineStr">
        <is>
          <t>Sarah Mitchell</t>
        </is>
      </c>
      <c r="H34" s="38" t="n">
        <v>1</v>
      </c>
      <c r="I34" s="31" t="inlineStr">
        <is>
          <t>Completed</t>
        </is>
      </c>
      <c r="J34" s="39" t="inlineStr"/>
    </row>
    <row r="35" outlineLevel="1" ht="20" customHeight="1">
      <c r="A35" s="25" t="n">
        <v>21</v>
      </c>
      <c r="B35" s="26" t="inlineStr">
        <is>
          <t>Task</t>
        </is>
      </c>
      <c r="C35" s="27" t="inlineStr">
        <is>
          <t>Phase 3: Project Planning</t>
        </is>
      </c>
      <c r="D35" s="28" t="inlineStr">
        <is>
          <t>Risk Assessment &amp; Register</t>
        </is>
      </c>
      <c r="E35" s="29" t="n">
        <v>45755</v>
      </c>
      <c r="F35" s="29" t="n">
        <v>45758</v>
      </c>
      <c r="G35" s="27" t="inlineStr">
        <is>
          <t>James Thornton</t>
        </is>
      </c>
      <c r="H35" s="30" t="n">
        <v>1</v>
      </c>
      <c r="I35" s="31" t="inlineStr">
        <is>
          <t>Completed</t>
        </is>
      </c>
      <c r="J35" s="32" t="inlineStr"/>
    </row>
    <row r="36" outlineLevel="1" ht="20" customHeight="1">
      <c r="A36" s="33" t="n">
        <v>22</v>
      </c>
      <c r="B36" s="34" t="inlineStr">
        <is>
          <t>Subtask</t>
        </is>
      </c>
      <c r="C36" s="35" t="inlineStr">
        <is>
          <t>Phase 3: Project Planning</t>
        </is>
      </c>
      <c r="D36" s="36" t="inlineStr">
        <is>
          <t xml:space="preserve">    ↳  Risk identification workshops</t>
        </is>
      </c>
      <c r="E36" s="37" t="n">
        <v>45761</v>
      </c>
      <c r="F36" s="37" t="n">
        <v>45762</v>
      </c>
      <c r="G36" s="35" t="inlineStr">
        <is>
          <t>Amelia Wilson</t>
        </is>
      </c>
      <c r="H36" s="38" t="n">
        <v>1</v>
      </c>
      <c r="I36" s="31" t="inlineStr">
        <is>
          <t>Completed</t>
        </is>
      </c>
      <c r="J36" s="39" t="inlineStr"/>
    </row>
    <row r="37" outlineLevel="1" ht="20" customHeight="1">
      <c r="A37" s="33" t="n">
        <v>23</v>
      </c>
      <c r="B37" s="34" t="inlineStr">
        <is>
          <t>Subtask</t>
        </is>
      </c>
      <c r="C37" s="35" t="inlineStr">
        <is>
          <t>Phase 3: Project Planning</t>
        </is>
      </c>
      <c r="D37" s="36" t="inlineStr">
        <is>
          <t xml:space="preserve">    ↳  Risk scoring &amp; mitigation plans</t>
        </is>
      </c>
      <c r="E37" s="37" t="n">
        <v>45761</v>
      </c>
      <c r="F37" s="37" t="n">
        <v>45762</v>
      </c>
      <c r="G37" s="35" t="inlineStr">
        <is>
          <t>James Thornton</t>
        </is>
      </c>
      <c r="H37" s="38" t="n">
        <v>1</v>
      </c>
      <c r="I37" s="31" t="inlineStr">
        <is>
          <t>Completed</t>
        </is>
      </c>
      <c r="J37" s="39" t="inlineStr"/>
    </row>
    <row r="38" outlineLevel="1" ht="20" customHeight="1">
      <c r="A38" s="25" t="n">
        <v>24</v>
      </c>
      <c r="B38" s="26" t="inlineStr">
        <is>
          <t>Task</t>
        </is>
      </c>
      <c r="C38" s="27" t="inlineStr">
        <is>
          <t>Phase 3: Project Planning</t>
        </is>
      </c>
      <c r="D38" s="28" t="inlineStr">
        <is>
          <t>Project Schedule Development</t>
        </is>
      </c>
      <c r="E38" s="29" t="n">
        <v>45761</v>
      </c>
      <c r="F38" s="29" t="n">
        <v>45769</v>
      </c>
      <c r="G38" s="27" t="inlineStr">
        <is>
          <t>James Thornton</t>
        </is>
      </c>
      <c r="H38" s="30" t="n">
        <v>1</v>
      </c>
      <c r="I38" s="31" t="inlineStr">
        <is>
          <t>Completed</t>
        </is>
      </c>
      <c r="J38" s="32" t="inlineStr">
        <is>
          <t>Baselined</t>
        </is>
      </c>
    </row>
    <row r="39" outlineLevel="1" ht="20" customHeight="1">
      <c r="A39" s="25" t="n">
        <v>25</v>
      </c>
      <c r="B39" s="26" t="inlineStr">
        <is>
          <t>Task</t>
        </is>
      </c>
      <c r="C39" s="27" t="inlineStr">
        <is>
          <t>Phase 3: Project Planning</t>
        </is>
      </c>
      <c r="D39" s="28" t="inlineStr">
        <is>
          <t>Budget Planning &amp; Approval</t>
        </is>
      </c>
      <c r="E39" s="29" t="n">
        <v>45770</v>
      </c>
      <c r="F39" s="29" t="n">
        <v>45772</v>
      </c>
      <c r="G39" s="27" t="inlineStr">
        <is>
          <t>Archie Martin</t>
        </is>
      </c>
      <c r="H39" s="30" t="n">
        <v>1</v>
      </c>
      <c r="I39" s="31" t="inlineStr">
        <is>
          <t>Completed</t>
        </is>
      </c>
      <c r="J39" s="32" t="inlineStr">
        <is>
          <t>Budget approved £250k</t>
        </is>
      </c>
    </row>
    <row r="40" outlineLevel="1" ht="20" customHeight="1">
      <c r="A40" s="25" t="n">
        <v>26</v>
      </c>
      <c r="B40" s="26" t="inlineStr">
        <is>
          <t>Task</t>
        </is>
      </c>
      <c r="C40" s="27" t="inlineStr">
        <is>
          <t>Phase 3: Project Planning</t>
        </is>
      </c>
      <c r="D40" s="28" t="inlineStr">
        <is>
          <t>Communication Plan</t>
        </is>
      </c>
      <c r="E40" s="29" t="n">
        <v>45775</v>
      </c>
      <c r="F40" s="29" t="n">
        <v>45776</v>
      </c>
      <c r="G40" s="27" t="inlineStr">
        <is>
          <t>Sarah Mitchell</t>
        </is>
      </c>
      <c r="H40" s="30" t="n">
        <v>1</v>
      </c>
      <c r="I40" s="31" t="inlineStr">
        <is>
          <t>Completed</t>
        </is>
      </c>
      <c r="J40" s="32" t="inlineStr"/>
    </row>
    <row r="41" outlineLevel="1" ht="20" customHeight="1">
      <c r="A41" s="25" t="n">
        <v>27</v>
      </c>
      <c r="B41" s="26" t="inlineStr">
        <is>
          <t>Task</t>
        </is>
      </c>
      <c r="C41" s="27" t="inlineStr">
        <is>
          <t>Phase 3: Project Planning</t>
        </is>
      </c>
      <c r="D41" s="28" t="inlineStr">
        <is>
          <t>Quality Management Plan</t>
        </is>
      </c>
      <c r="E41" s="29" t="n">
        <v>45777</v>
      </c>
      <c r="F41" s="29" t="n">
        <v>45778</v>
      </c>
      <c r="G41" s="27" t="inlineStr">
        <is>
          <t>Sophie Bennett</t>
        </is>
      </c>
      <c r="H41" s="30" t="n">
        <v>1</v>
      </c>
      <c r="I41" s="31" t="inlineStr">
        <is>
          <t>Completed</t>
        </is>
      </c>
      <c r="J41" s="32" t="inlineStr"/>
    </row>
    <row r="42" ht="24" customHeight="1">
      <c r="A42" s="23" t="inlineStr"/>
      <c r="B42" s="23" t="inlineStr">
        <is>
          <t>Phase</t>
        </is>
      </c>
      <c r="C42" s="23" t="inlineStr">
        <is>
          <t>Phase 4: Design</t>
        </is>
      </c>
      <c r="D42" s="23" t="inlineStr">
        <is>
          <t>Phase 4: Design</t>
        </is>
      </c>
      <c r="E42" s="24" t="n">
        <v>45779</v>
      </c>
      <c r="F42" s="24" t="n">
        <v>45817</v>
      </c>
      <c r="G42" s="23" t="inlineStr"/>
      <c r="H42" s="23" t="inlineStr"/>
      <c r="I42" s="23" t="inlineStr"/>
      <c r="J42" s="23" t="inlineStr"/>
    </row>
    <row r="43" outlineLevel="1" ht="20" customHeight="1">
      <c r="A43" s="25" t="n">
        <v>28</v>
      </c>
      <c r="B43" s="26" t="inlineStr">
        <is>
          <t>Task</t>
        </is>
      </c>
      <c r="C43" s="27" t="inlineStr">
        <is>
          <t>Phase 4: Design</t>
        </is>
      </c>
      <c r="D43" s="28" t="inlineStr">
        <is>
          <t>System Architecture Design</t>
        </is>
      </c>
      <c r="E43" s="29" t="n">
        <v>45779</v>
      </c>
      <c r="F43" s="29" t="n">
        <v>45791</v>
      </c>
      <c r="G43" s="27" t="inlineStr">
        <is>
          <t>David Patel</t>
        </is>
      </c>
      <c r="H43" s="30" t="n">
        <v>1</v>
      </c>
      <c r="I43" s="31" t="inlineStr">
        <is>
          <t>Completed</t>
        </is>
      </c>
      <c r="J43" s="32" t="inlineStr"/>
    </row>
    <row r="44" outlineLevel="1" ht="20" customHeight="1">
      <c r="A44" s="33" t="n">
        <v>29</v>
      </c>
      <c r="B44" s="34" t="inlineStr">
        <is>
          <t>Subtask</t>
        </is>
      </c>
      <c r="C44" s="35" t="inlineStr">
        <is>
          <t>Phase 4: Design</t>
        </is>
      </c>
      <c r="D44" s="36" t="inlineStr">
        <is>
          <t xml:space="preserve">    ↳  High-level architecture diagram</t>
        </is>
      </c>
      <c r="E44" s="37" t="n">
        <v>45792</v>
      </c>
      <c r="F44" s="37" t="n">
        <v>45796</v>
      </c>
      <c r="G44" s="35" t="inlineStr">
        <is>
          <t>David Patel</t>
        </is>
      </c>
      <c r="H44" s="38" t="n">
        <v>1</v>
      </c>
      <c r="I44" s="31" t="inlineStr">
        <is>
          <t>Completed</t>
        </is>
      </c>
      <c r="J44" s="39" t="inlineStr"/>
    </row>
    <row r="45" outlineLevel="1" ht="20" customHeight="1">
      <c r="A45" s="33" t="n">
        <v>30</v>
      </c>
      <c r="B45" s="34" t="inlineStr">
        <is>
          <t>Subtask</t>
        </is>
      </c>
      <c r="C45" s="35" t="inlineStr">
        <is>
          <t>Phase 4: Design</t>
        </is>
      </c>
      <c r="D45" s="36" t="inlineStr">
        <is>
          <t xml:space="preserve">    ↳  Component design specification</t>
        </is>
      </c>
      <c r="E45" s="37" t="n">
        <v>45792</v>
      </c>
      <c r="F45" s="37" t="n">
        <v>45796</v>
      </c>
      <c r="G45" s="35" t="inlineStr">
        <is>
          <t>Emma Clarke</t>
        </is>
      </c>
      <c r="H45" s="38" t="n">
        <v>1</v>
      </c>
      <c r="I45" s="31" t="inlineStr">
        <is>
          <t>Completed</t>
        </is>
      </c>
      <c r="J45" s="39" t="inlineStr"/>
    </row>
    <row r="46" outlineLevel="1" ht="20" customHeight="1">
      <c r="A46" s="33" t="n">
        <v>31</v>
      </c>
      <c r="B46" s="34" t="inlineStr">
        <is>
          <t>Subtask</t>
        </is>
      </c>
      <c r="C46" s="35" t="inlineStr">
        <is>
          <t>Phase 4: Design</t>
        </is>
      </c>
      <c r="D46" s="36" t="inlineStr">
        <is>
          <t xml:space="preserve">    ↳  API design documentation</t>
        </is>
      </c>
      <c r="E46" s="37" t="n">
        <v>45792</v>
      </c>
      <c r="F46" s="37" t="n">
        <v>45793</v>
      </c>
      <c r="G46" s="35" t="inlineStr">
        <is>
          <t>David Patel</t>
        </is>
      </c>
      <c r="H46" s="38" t="n">
        <v>1</v>
      </c>
      <c r="I46" s="31" t="inlineStr">
        <is>
          <t>Completed</t>
        </is>
      </c>
      <c r="J46" s="39" t="inlineStr"/>
    </row>
    <row r="47" outlineLevel="1" ht="20" customHeight="1">
      <c r="A47" s="25" t="n">
        <v>32</v>
      </c>
      <c r="B47" s="26" t="inlineStr">
        <is>
          <t>Task</t>
        </is>
      </c>
      <c r="C47" s="27" t="inlineStr">
        <is>
          <t>Phase 4: Design</t>
        </is>
      </c>
      <c r="D47" s="28" t="inlineStr">
        <is>
          <t>UX / UI Design</t>
        </is>
      </c>
      <c r="E47" s="29" t="n">
        <v>45792</v>
      </c>
      <c r="F47" s="29" t="n">
        <v>45806</v>
      </c>
      <c r="G47" s="27" t="inlineStr">
        <is>
          <t>Charlotte Davies</t>
        </is>
      </c>
      <c r="H47" s="30" t="n">
        <v>1</v>
      </c>
      <c r="I47" s="31" t="inlineStr">
        <is>
          <t>Completed</t>
        </is>
      </c>
      <c r="J47" s="32" t="inlineStr"/>
    </row>
    <row r="48" outlineLevel="1" ht="20" customHeight="1">
      <c r="A48" s="33" t="n">
        <v>33</v>
      </c>
      <c r="B48" s="34" t="inlineStr">
        <is>
          <t>Subtask</t>
        </is>
      </c>
      <c r="C48" s="35" t="inlineStr">
        <is>
          <t>Phase 4: Design</t>
        </is>
      </c>
      <c r="D48" s="36" t="inlineStr">
        <is>
          <t xml:space="preserve">    ↳  User journey mapping</t>
        </is>
      </c>
      <c r="E48" s="37" t="n">
        <v>45807</v>
      </c>
      <c r="F48" s="37" t="n">
        <v>45811</v>
      </c>
      <c r="G48" s="35" t="inlineStr">
        <is>
          <t>Charlotte Davies</t>
        </is>
      </c>
      <c r="H48" s="38" t="n">
        <v>1</v>
      </c>
      <c r="I48" s="31" t="inlineStr">
        <is>
          <t>Completed</t>
        </is>
      </c>
      <c r="J48" s="39" t="inlineStr"/>
    </row>
    <row r="49" outlineLevel="1" ht="20" customHeight="1">
      <c r="A49" s="33" t="n">
        <v>34</v>
      </c>
      <c r="B49" s="34" t="inlineStr">
        <is>
          <t>Subtask</t>
        </is>
      </c>
      <c r="C49" s="35" t="inlineStr">
        <is>
          <t>Phase 4: Design</t>
        </is>
      </c>
      <c r="D49" s="36" t="inlineStr">
        <is>
          <t xml:space="preserve">    ↳  Wireframe development</t>
        </is>
      </c>
      <c r="E49" s="37" t="n">
        <v>45807</v>
      </c>
      <c r="F49" s="37" t="n">
        <v>45812</v>
      </c>
      <c r="G49" s="35" t="inlineStr">
        <is>
          <t>Charlotte Davies</t>
        </is>
      </c>
      <c r="H49" s="38" t="n">
        <v>1</v>
      </c>
      <c r="I49" s="31" t="inlineStr">
        <is>
          <t>Completed</t>
        </is>
      </c>
      <c r="J49" s="39" t="inlineStr"/>
    </row>
    <row r="50" outlineLevel="1" ht="20" customHeight="1">
      <c r="A50" s="33" t="n">
        <v>35</v>
      </c>
      <c r="B50" s="34" t="inlineStr">
        <is>
          <t>Subtask</t>
        </is>
      </c>
      <c r="C50" s="35" t="inlineStr">
        <is>
          <t>Phase 4: Design</t>
        </is>
      </c>
      <c r="D50" s="36" t="inlineStr">
        <is>
          <t xml:space="preserve">    ↳  High-fidelity mockups</t>
        </is>
      </c>
      <c r="E50" s="37" t="n">
        <v>45807</v>
      </c>
      <c r="F50" s="37" t="n">
        <v>45811</v>
      </c>
      <c r="G50" s="35" t="inlineStr">
        <is>
          <t>Noah Thompson</t>
        </is>
      </c>
      <c r="H50" s="38" t="n">
        <v>1</v>
      </c>
      <c r="I50" s="31" t="inlineStr">
        <is>
          <t>Completed</t>
        </is>
      </c>
      <c r="J50" s="39" t="inlineStr"/>
    </row>
    <row r="51" outlineLevel="1" ht="20" customHeight="1">
      <c r="A51" s="25" t="n">
        <v>36</v>
      </c>
      <c r="B51" s="26" t="inlineStr">
        <is>
          <t>Task</t>
        </is>
      </c>
      <c r="C51" s="27" t="inlineStr">
        <is>
          <t>Phase 4: Design</t>
        </is>
      </c>
      <c r="D51" s="28" t="inlineStr">
        <is>
          <t>Database Schema Design</t>
        </is>
      </c>
      <c r="E51" s="29" t="n">
        <v>45807</v>
      </c>
      <c r="F51" s="29" t="n">
        <v>45813</v>
      </c>
      <c r="G51" s="27" t="inlineStr">
        <is>
          <t>Emma Clarke</t>
        </is>
      </c>
      <c r="H51" s="30" t="n">
        <v>1</v>
      </c>
      <c r="I51" s="31" t="inlineStr">
        <is>
          <t>Completed</t>
        </is>
      </c>
      <c r="J51" s="32" t="inlineStr"/>
    </row>
    <row r="52" outlineLevel="1" ht="20" customHeight="1">
      <c r="A52" s="25" t="n">
        <v>37</v>
      </c>
      <c r="B52" s="26" t="inlineStr">
        <is>
          <t>Task</t>
        </is>
      </c>
      <c r="C52" s="27" t="inlineStr">
        <is>
          <t>Phase 4: Design</t>
        </is>
      </c>
      <c r="D52" s="28" t="inlineStr">
        <is>
          <t>Design Review &amp; Approval</t>
        </is>
      </c>
      <c r="E52" s="29" t="n">
        <v>45814</v>
      </c>
      <c r="F52" s="29" t="n">
        <v>45817</v>
      </c>
      <c r="G52" s="27" t="inlineStr">
        <is>
          <t>George Harris</t>
        </is>
      </c>
      <c r="H52" s="30" t="n">
        <v>1</v>
      </c>
      <c r="I52" s="31" t="inlineStr">
        <is>
          <t>Completed</t>
        </is>
      </c>
      <c r="J52" s="32" t="inlineStr"/>
    </row>
    <row r="53" ht="24" customHeight="1">
      <c r="A53" s="23" t="inlineStr"/>
      <c r="B53" s="23" t="inlineStr">
        <is>
          <t>Phase</t>
        </is>
      </c>
      <c r="C53" s="23" t="inlineStr">
        <is>
          <t>Phase 5: Development – Core</t>
        </is>
      </c>
      <c r="D53" s="23" t="inlineStr">
        <is>
          <t>Phase 5: Development – Core</t>
        </is>
      </c>
      <c r="E53" s="24" t="n">
        <v>45818</v>
      </c>
      <c r="F53" s="24" t="n">
        <v>45859</v>
      </c>
      <c r="G53" s="23" t="inlineStr"/>
      <c r="H53" s="23" t="inlineStr"/>
      <c r="I53" s="23" t="inlineStr"/>
      <c r="J53" s="23" t="inlineStr"/>
    </row>
    <row r="54" outlineLevel="1" ht="20" customHeight="1">
      <c r="A54" s="25" t="n">
        <v>38</v>
      </c>
      <c r="B54" s="26" t="inlineStr">
        <is>
          <t>Task</t>
        </is>
      </c>
      <c r="C54" s="27" t="inlineStr">
        <is>
          <t>Phase 5: Development – Core</t>
        </is>
      </c>
      <c r="D54" s="28" t="inlineStr">
        <is>
          <t>Development Environment Setup</t>
        </is>
      </c>
      <c r="E54" s="29" t="n">
        <v>45818</v>
      </c>
      <c r="F54" s="29" t="n">
        <v>45820</v>
      </c>
      <c r="G54" s="27" t="inlineStr">
        <is>
          <t>Isla Roberts</t>
        </is>
      </c>
      <c r="H54" s="30" t="n">
        <v>1</v>
      </c>
      <c r="I54" s="31" t="inlineStr">
        <is>
          <t>Completed</t>
        </is>
      </c>
      <c r="J54" s="32" t="inlineStr">
        <is>
          <t>CI/CD pipelines configured</t>
        </is>
      </c>
    </row>
    <row r="55" outlineLevel="1" ht="20" customHeight="1">
      <c r="A55" s="33" t="n">
        <v>39</v>
      </c>
      <c r="B55" s="34" t="inlineStr">
        <is>
          <t>Subtask</t>
        </is>
      </c>
      <c r="C55" s="35" t="inlineStr">
        <is>
          <t>Phase 5: Development – Core</t>
        </is>
      </c>
      <c r="D55" s="36" t="inlineStr">
        <is>
          <t xml:space="preserve">    ↳  Repository &amp; branching strategy</t>
        </is>
      </c>
      <c r="E55" s="37" t="n">
        <v>45821</v>
      </c>
      <c r="F55" s="37" t="n">
        <v>45821</v>
      </c>
      <c r="G55" s="35" t="inlineStr">
        <is>
          <t>David Patel</t>
        </is>
      </c>
      <c r="H55" s="38" t="n">
        <v>1</v>
      </c>
      <c r="I55" s="31" t="inlineStr">
        <is>
          <t>Completed</t>
        </is>
      </c>
      <c r="J55" s="39" t="inlineStr"/>
    </row>
    <row r="56" outlineLevel="1" ht="20" customHeight="1">
      <c r="A56" s="33" t="n">
        <v>40</v>
      </c>
      <c r="B56" s="34" t="inlineStr">
        <is>
          <t>Subtask</t>
        </is>
      </c>
      <c r="C56" s="35" t="inlineStr">
        <is>
          <t>Phase 5: Development – Core</t>
        </is>
      </c>
      <c r="D56" s="36" t="inlineStr">
        <is>
          <t xml:space="preserve">    ↳  Dev/staging/prod environments</t>
        </is>
      </c>
      <c r="E56" s="37" t="n">
        <v>45821</v>
      </c>
      <c r="F56" s="37" t="n">
        <v>45824</v>
      </c>
      <c r="G56" s="35" t="inlineStr">
        <is>
          <t>Isla Roberts</t>
        </is>
      </c>
      <c r="H56" s="38" t="n">
        <v>1</v>
      </c>
      <c r="I56" s="31" t="inlineStr">
        <is>
          <t>Completed</t>
        </is>
      </c>
      <c r="J56" s="39" t="inlineStr"/>
    </row>
    <row r="57" outlineLevel="1" ht="20" customHeight="1">
      <c r="A57" s="25" t="n">
        <v>41</v>
      </c>
      <c r="B57" s="26" t="inlineStr">
        <is>
          <t>Task</t>
        </is>
      </c>
      <c r="C57" s="27" t="inlineStr">
        <is>
          <t>Phase 5: Development – Core</t>
        </is>
      </c>
      <c r="D57" s="28" t="inlineStr">
        <is>
          <t>Core Authentication Module</t>
        </is>
      </c>
      <c r="E57" s="29" t="n">
        <v>45821</v>
      </c>
      <c r="F57" s="29" t="n">
        <v>45832</v>
      </c>
      <c r="G57" s="27" t="inlineStr">
        <is>
          <t>David Patel</t>
        </is>
      </c>
      <c r="H57" s="30" t="n">
        <v>1</v>
      </c>
      <c r="I57" s="31" t="inlineStr">
        <is>
          <t>Completed</t>
        </is>
      </c>
      <c r="J57" s="32" t="inlineStr"/>
    </row>
    <row r="58" outlineLevel="1" ht="20" customHeight="1">
      <c r="A58" s="33" t="n">
        <v>42</v>
      </c>
      <c r="B58" s="34" t="inlineStr">
        <is>
          <t>Subtask</t>
        </is>
      </c>
      <c r="C58" s="35" t="inlineStr">
        <is>
          <t>Phase 5: Development – Core</t>
        </is>
      </c>
      <c r="D58" s="36" t="inlineStr">
        <is>
          <t xml:space="preserve">    ↳  User login &amp; registration</t>
        </is>
      </c>
      <c r="E58" s="37" t="n">
        <v>45833</v>
      </c>
      <c r="F58" s="37" t="n">
        <v>45838</v>
      </c>
      <c r="G58" s="35" t="inlineStr">
        <is>
          <t>David Patel</t>
        </is>
      </c>
      <c r="H58" s="38" t="n">
        <v>1</v>
      </c>
      <c r="I58" s="31" t="inlineStr">
        <is>
          <t>Completed</t>
        </is>
      </c>
      <c r="J58" s="39" t="inlineStr"/>
    </row>
    <row r="59" outlineLevel="1" ht="20" customHeight="1">
      <c r="A59" s="33" t="n">
        <v>43</v>
      </c>
      <c r="B59" s="34" t="inlineStr">
        <is>
          <t>Subtask</t>
        </is>
      </c>
      <c r="C59" s="35" t="inlineStr">
        <is>
          <t>Phase 5: Development – Core</t>
        </is>
      </c>
      <c r="D59" s="36" t="inlineStr">
        <is>
          <t xml:space="preserve">    ↳  Role-based access control</t>
        </is>
      </c>
      <c r="E59" s="37" t="n">
        <v>45833</v>
      </c>
      <c r="F59" s="37" t="n">
        <v>45838</v>
      </c>
      <c r="G59" s="35" t="inlineStr">
        <is>
          <t>Emma Clarke</t>
        </is>
      </c>
      <c r="H59" s="38" t="n">
        <v>1</v>
      </c>
      <c r="I59" s="31" t="inlineStr">
        <is>
          <t>Completed</t>
        </is>
      </c>
      <c r="J59" s="39" t="inlineStr"/>
    </row>
    <row r="60" outlineLevel="1" ht="20" customHeight="1">
      <c r="A60" s="25" t="n">
        <v>44</v>
      </c>
      <c r="B60" s="26" t="inlineStr">
        <is>
          <t>Task</t>
        </is>
      </c>
      <c r="C60" s="27" t="inlineStr">
        <is>
          <t>Phase 5: Development – Core</t>
        </is>
      </c>
      <c r="D60" s="28" t="inlineStr">
        <is>
          <t>Database Implementation</t>
        </is>
      </c>
      <c r="E60" s="29" t="n">
        <v>45833</v>
      </c>
      <c r="F60" s="29" t="n">
        <v>45840</v>
      </c>
      <c r="G60" s="27" t="inlineStr">
        <is>
          <t>Emma Clarke</t>
        </is>
      </c>
      <c r="H60" s="30" t="n">
        <v>1</v>
      </c>
      <c r="I60" s="31" t="inlineStr">
        <is>
          <t>Completed</t>
        </is>
      </c>
      <c r="J60" s="32" t="inlineStr"/>
    </row>
    <row r="61" outlineLevel="1" ht="20" customHeight="1">
      <c r="A61" s="25" t="n">
        <v>45</v>
      </c>
      <c r="B61" s="26" t="inlineStr">
        <is>
          <t>Task</t>
        </is>
      </c>
      <c r="C61" s="27" t="inlineStr">
        <is>
          <t>Phase 5: Development – Core</t>
        </is>
      </c>
      <c r="D61" s="28" t="inlineStr">
        <is>
          <t>Core API Layer Development</t>
        </is>
      </c>
      <c r="E61" s="29" t="n">
        <v>45841</v>
      </c>
      <c r="F61" s="29" t="n">
        <v>45854</v>
      </c>
      <c r="G61" s="27" t="inlineStr">
        <is>
          <t>David Patel</t>
        </is>
      </c>
      <c r="H61" s="30" t="n">
        <v>0.7</v>
      </c>
      <c r="I61" s="40" t="inlineStr">
        <is>
          <t>In Progress</t>
        </is>
      </c>
      <c r="J61" s="32" t="inlineStr">
        <is>
          <t>On track</t>
        </is>
      </c>
    </row>
    <row r="62" outlineLevel="1" ht="20" customHeight="1">
      <c r="A62" s="33" t="n">
        <v>46</v>
      </c>
      <c r="B62" s="34" t="inlineStr">
        <is>
          <t>Subtask</t>
        </is>
      </c>
      <c r="C62" s="35" t="inlineStr">
        <is>
          <t>Phase 5: Development – Core</t>
        </is>
      </c>
      <c r="D62" s="36" t="inlineStr">
        <is>
          <t xml:space="preserve">    ↳  REST endpoints – CRUD operations</t>
        </is>
      </c>
      <c r="E62" s="37" t="n">
        <v>45855</v>
      </c>
      <c r="F62" s="37" t="n">
        <v>45861</v>
      </c>
      <c r="G62" s="35" t="inlineStr">
        <is>
          <t>David Patel</t>
        </is>
      </c>
      <c r="H62" s="38" t="n">
        <v>1</v>
      </c>
      <c r="I62" s="31" t="inlineStr">
        <is>
          <t>Completed</t>
        </is>
      </c>
      <c r="J62" s="39" t="inlineStr"/>
    </row>
    <row r="63" outlineLevel="1" ht="20" customHeight="1">
      <c r="A63" s="33" t="n">
        <v>47</v>
      </c>
      <c r="B63" s="34" t="inlineStr">
        <is>
          <t>Subtask</t>
        </is>
      </c>
      <c r="C63" s="35" t="inlineStr">
        <is>
          <t>Phase 5: Development – Core</t>
        </is>
      </c>
      <c r="D63" s="36" t="inlineStr">
        <is>
          <t xml:space="preserve">    ↳  Error handling &amp; logging</t>
        </is>
      </c>
      <c r="E63" s="37" t="n">
        <v>45855</v>
      </c>
      <c r="F63" s="37" t="n">
        <v>45859</v>
      </c>
      <c r="G63" s="35" t="inlineStr">
        <is>
          <t>Emma Clarke</t>
        </is>
      </c>
      <c r="H63" s="38" t="n">
        <v>0.5</v>
      </c>
      <c r="I63" s="40" t="inlineStr">
        <is>
          <t>In Progress</t>
        </is>
      </c>
      <c r="J63" s="39" t="inlineStr"/>
    </row>
    <row r="64" outlineLevel="1" ht="20" customHeight="1">
      <c r="A64" s="33" t="n">
        <v>48</v>
      </c>
      <c r="B64" s="34" t="inlineStr">
        <is>
          <t>Subtask</t>
        </is>
      </c>
      <c r="C64" s="35" t="inlineStr">
        <is>
          <t>Phase 5: Development – Core</t>
        </is>
      </c>
      <c r="D64" s="36" t="inlineStr">
        <is>
          <t xml:space="preserve">    ↳  Unit test coverage</t>
        </is>
      </c>
      <c r="E64" s="37" t="n">
        <v>45855</v>
      </c>
      <c r="F64" s="37" t="n">
        <v>45856</v>
      </c>
      <c r="G64" s="35" t="inlineStr">
        <is>
          <t>Liam Foster</t>
        </is>
      </c>
      <c r="H64" s="38" t="n">
        <v>0</v>
      </c>
      <c r="I64" s="41" t="inlineStr">
        <is>
          <t>Not Started</t>
        </is>
      </c>
      <c r="J64" s="39" t="inlineStr">
        <is>
          <t>Awaiting API completion</t>
        </is>
      </c>
    </row>
    <row r="65" outlineLevel="1" ht="20" customHeight="1">
      <c r="A65" s="25" t="n">
        <v>49</v>
      </c>
      <c r="B65" s="26" t="inlineStr">
        <is>
          <t>Task</t>
        </is>
      </c>
      <c r="C65" s="27" t="inlineStr">
        <is>
          <t>Phase 5: Development – Core</t>
        </is>
      </c>
      <c r="D65" s="28" t="inlineStr">
        <is>
          <t>Code Review – Core Modules</t>
        </is>
      </c>
      <c r="E65" s="29" t="n">
        <v>45855</v>
      </c>
      <c r="F65" s="29" t="n">
        <v>45859</v>
      </c>
      <c r="G65" s="27" t="inlineStr">
        <is>
          <t>David Patel</t>
        </is>
      </c>
      <c r="H65" s="30" t="n">
        <v>0</v>
      </c>
      <c r="I65" s="41" t="inlineStr">
        <is>
          <t>Not Started</t>
        </is>
      </c>
      <c r="J65" s="32" t="inlineStr"/>
    </row>
    <row r="66" ht="24" customHeight="1">
      <c r="A66" s="23" t="inlineStr"/>
      <c r="B66" s="23" t="inlineStr">
        <is>
          <t>Phase</t>
        </is>
      </c>
      <c r="C66" s="23" t="inlineStr">
        <is>
          <t>Phase 6: Development – Features</t>
        </is>
      </c>
      <c r="D66" s="23" t="inlineStr">
        <is>
          <t>Phase 6: Development – Features</t>
        </is>
      </c>
      <c r="E66" s="24" t="n">
        <v>45862</v>
      </c>
      <c r="F66" s="24" t="n">
        <v>45910</v>
      </c>
      <c r="G66" s="23" t="inlineStr"/>
      <c r="H66" s="23" t="inlineStr"/>
      <c r="I66" s="23" t="inlineStr"/>
      <c r="J66" s="23" t="inlineStr"/>
    </row>
    <row r="67" outlineLevel="1" ht="20" customHeight="1">
      <c r="A67" s="25" t="n">
        <v>50</v>
      </c>
      <c r="B67" s="26" t="inlineStr">
        <is>
          <t>Task</t>
        </is>
      </c>
      <c r="C67" s="27" t="inlineStr">
        <is>
          <t>Phase 6: Development – Features</t>
        </is>
      </c>
      <c r="D67" s="28" t="inlineStr">
        <is>
          <t>Feature A: Dashboard Module</t>
        </is>
      </c>
      <c r="E67" s="29" t="n">
        <v>45862</v>
      </c>
      <c r="F67" s="29" t="n">
        <v>45875</v>
      </c>
      <c r="G67" s="27" t="inlineStr">
        <is>
          <t>Emma Clarke</t>
        </is>
      </c>
      <c r="H67" s="30" t="n">
        <v>0.6</v>
      </c>
      <c r="I67" s="40" t="inlineStr">
        <is>
          <t>In Progress</t>
        </is>
      </c>
      <c r="J67" s="32" t="inlineStr"/>
    </row>
    <row r="68" outlineLevel="1" ht="20" customHeight="1">
      <c r="A68" s="33" t="n">
        <v>51</v>
      </c>
      <c r="B68" s="34" t="inlineStr">
        <is>
          <t>Subtask</t>
        </is>
      </c>
      <c r="C68" s="35" t="inlineStr">
        <is>
          <t>Phase 6: Development – Features</t>
        </is>
      </c>
      <c r="D68" s="36" t="inlineStr">
        <is>
          <t xml:space="preserve">    ↳  Dashboard data aggregation</t>
        </is>
      </c>
      <c r="E68" s="37" t="n">
        <v>45876</v>
      </c>
      <c r="F68" s="37" t="n">
        <v>45881</v>
      </c>
      <c r="G68" s="35" t="inlineStr">
        <is>
          <t>Emma Clarke</t>
        </is>
      </c>
      <c r="H68" s="38" t="n">
        <v>0.8</v>
      </c>
      <c r="I68" s="40" t="inlineStr">
        <is>
          <t>In Progress</t>
        </is>
      </c>
      <c r="J68" s="39" t="inlineStr"/>
    </row>
    <row r="69" outlineLevel="1" ht="20" customHeight="1">
      <c r="A69" s="33" t="n">
        <v>52</v>
      </c>
      <c r="B69" s="34" t="inlineStr">
        <is>
          <t>Subtask</t>
        </is>
      </c>
      <c r="C69" s="35" t="inlineStr">
        <is>
          <t>Phase 6: Development – Features</t>
        </is>
      </c>
      <c r="D69" s="36" t="inlineStr">
        <is>
          <t xml:space="preserve">    ↳  Dashboard UI components</t>
        </is>
      </c>
      <c r="E69" s="37" t="n">
        <v>45876</v>
      </c>
      <c r="F69" s="37" t="n">
        <v>45881</v>
      </c>
      <c r="G69" s="35" t="inlineStr">
        <is>
          <t>Noah Thompson</t>
        </is>
      </c>
      <c r="H69" s="38" t="n">
        <v>0.5</v>
      </c>
      <c r="I69" s="40" t="inlineStr">
        <is>
          <t>In Progress</t>
        </is>
      </c>
      <c r="J69" s="39" t="inlineStr"/>
    </row>
    <row r="70" outlineLevel="1" ht="20" customHeight="1">
      <c r="A70" s="33" t="n">
        <v>53</v>
      </c>
      <c r="B70" s="34" t="inlineStr">
        <is>
          <t>Subtask</t>
        </is>
      </c>
      <c r="C70" s="35" t="inlineStr">
        <is>
          <t>Phase 6: Development – Features</t>
        </is>
      </c>
      <c r="D70" s="36" t="inlineStr">
        <is>
          <t xml:space="preserve">    ↳  Dashboard real-time updates</t>
        </is>
      </c>
      <c r="E70" s="37" t="n">
        <v>45876</v>
      </c>
      <c r="F70" s="37" t="n">
        <v>45877</v>
      </c>
      <c r="G70" s="35" t="inlineStr">
        <is>
          <t>David Patel</t>
        </is>
      </c>
      <c r="H70" s="38" t="n">
        <v>0</v>
      </c>
      <c r="I70" s="41" t="inlineStr">
        <is>
          <t>Not Started</t>
        </is>
      </c>
      <c r="J70" s="39" t="inlineStr"/>
    </row>
    <row r="71" outlineLevel="1" ht="20" customHeight="1">
      <c r="A71" s="25" t="n">
        <v>54</v>
      </c>
      <c r="B71" s="26" t="inlineStr">
        <is>
          <t>Task</t>
        </is>
      </c>
      <c r="C71" s="27" t="inlineStr">
        <is>
          <t>Phase 6: Development – Features</t>
        </is>
      </c>
      <c r="D71" s="28" t="inlineStr">
        <is>
          <t>Feature B: Reporting Engine</t>
        </is>
      </c>
      <c r="E71" s="29" t="n">
        <v>45876</v>
      </c>
      <c r="F71" s="29" t="n">
        <v>45887</v>
      </c>
      <c r="G71" s="27" t="inlineStr">
        <is>
          <t>Liam Foster</t>
        </is>
      </c>
      <c r="H71" s="30" t="n">
        <v>0.3</v>
      </c>
      <c r="I71" s="40" t="inlineStr">
        <is>
          <t>In Progress</t>
        </is>
      </c>
      <c r="J71" s="32" t="inlineStr">
        <is>
          <t>Slight delay – resource conflict</t>
        </is>
      </c>
    </row>
    <row r="72" outlineLevel="1" ht="20" customHeight="1">
      <c r="A72" s="33" t="n">
        <v>55</v>
      </c>
      <c r="B72" s="34" t="inlineStr">
        <is>
          <t>Subtask</t>
        </is>
      </c>
      <c r="C72" s="35" t="inlineStr">
        <is>
          <t>Phase 6: Development – Features</t>
        </is>
      </c>
      <c r="D72" s="36" t="inlineStr">
        <is>
          <t xml:space="preserve">    ↳  Report template framework</t>
        </is>
      </c>
      <c r="E72" s="37" t="n">
        <v>45888</v>
      </c>
      <c r="F72" s="37" t="n">
        <v>45891</v>
      </c>
      <c r="G72" s="35" t="inlineStr">
        <is>
          <t>Liam Foster</t>
        </is>
      </c>
      <c r="H72" s="38" t="n">
        <v>0.5</v>
      </c>
      <c r="I72" s="40" t="inlineStr">
        <is>
          <t>In Progress</t>
        </is>
      </c>
      <c r="J72" s="39" t="inlineStr"/>
    </row>
    <row r="73" outlineLevel="1" ht="20" customHeight="1">
      <c r="A73" s="33" t="n">
        <v>56</v>
      </c>
      <c r="B73" s="34" t="inlineStr">
        <is>
          <t>Subtask</t>
        </is>
      </c>
      <c r="C73" s="35" t="inlineStr">
        <is>
          <t>Phase 6: Development – Features</t>
        </is>
      </c>
      <c r="D73" s="36" t="inlineStr">
        <is>
          <t xml:space="preserve">    ↳  PDF/Excel export functionality</t>
        </is>
      </c>
      <c r="E73" s="37" t="n">
        <v>45888</v>
      </c>
      <c r="F73" s="37" t="n">
        <v>45891</v>
      </c>
      <c r="G73" s="35" t="inlineStr">
        <is>
          <t>Liam Foster</t>
        </is>
      </c>
      <c r="H73" s="38" t="n">
        <v>0</v>
      </c>
      <c r="I73" s="41" t="inlineStr">
        <is>
          <t>Not Started</t>
        </is>
      </c>
      <c r="J73" s="39" t="inlineStr"/>
    </row>
    <row r="74" outlineLevel="1" ht="20" customHeight="1">
      <c r="A74" s="25" t="n">
        <v>57</v>
      </c>
      <c r="B74" s="26" t="inlineStr">
        <is>
          <t>Task</t>
        </is>
      </c>
      <c r="C74" s="27" t="inlineStr">
        <is>
          <t>Phase 6: Development – Features</t>
        </is>
      </c>
      <c r="D74" s="28" t="inlineStr">
        <is>
          <t>Feature C: Notifications System</t>
        </is>
      </c>
      <c r="E74" s="29" t="n">
        <v>45888</v>
      </c>
      <c r="F74" s="29" t="n">
        <v>45896</v>
      </c>
      <c r="G74" s="27" t="inlineStr">
        <is>
          <t>Emma Clarke</t>
        </is>
      </c>
      <c r="H74" s="30" t="n">
        <v>0</v>
      </c>
      <c r="I74" s="41" t="inlineStr">
        <is>
          <t>Not Started</t>
        </is>
      </c>
      <c r="J74" s="32" t="inlineStr"/>
    </row>
    <row r="75" outlineLevel="1" ht="20" customHeight="1">
      <c r="A75" s="33" t="n">
        <v>58</v>
      </c>
      <c r="B75" s="34" t="inlineStr">
        <is>
          <t>Subtask</t>
        </is>
      </c>
      <c r="C75" s="35" t="inlineStr">
        <is>
          <t>Phase 6: Development – Features</t>
        </is>
      </c>
      <c r="D75" s="36" t="inlineStr">
        <is>
          <t xml:space="preserve">    ↳  Email notification templates</t>
        </is>
      </c>
      <c r="E75" s="37" t="n">
        <v>45897</v>
      </c>
      <c r="F75" s="37" t="n">
        <v>45901</v>
      </c>
      <c r="G75" s="35" t="inlineStr">
        <is>
          <t>Emma Clarke</t>
        </is>
      </c>
      <c r="H75" s="38" t="n">
        <v>0</v>
      </c>
      <c r="I75" s="41" t="inlineStr">
        <is>
          <t>Not Started</t>
        </is>
      </c>
      <c r="J75" s="39" t="inlineStr"/>
    </row>
    <row r="76" outlineLevel="1" ht="20" customHeight="1">
      <c r="A76" s="33" t="n">
        <v>59</v>
      </c>
      <c r="B76" s="34" t="inlineStr">
        <is>
          <t>Subtask</t>
        </is>
      </c>
      <c r="C76" s="35" t="inlineStr">
        <is>
          <t>Phase 6: Development – Features</t>
        </is>
      </c>
      <c r="D76" s="36" t="inlineStr">
        <is>
          <t xml:space="preserve">    ↳  In-app notification centre</t>
        </is>
      </c>
      <c r="E76" s="37" t="n">
        <v>45897</v>
      </c>
      <c r="F76" s="37" t="n">
        <v>45901</v>
      </c>
      <c r="G76" s="35" t="inlineStr">
        <is>
          <t>Liam Foster</t>
        </is>
      </c>
      <c r="H76" s="38" t="n">
        <v>0</v>
      </c>
      <c r="I76" s="41" t="inlineStr">
        <is>
          <t>Not Started</t>
        </is>
      </c>
      <c r="J76" s="39" t="inlineStr"/>
    </row>
    <row r="77" outlineLevel="1" ht="20" customHeight="1">
      <c r="A77" s="25" t="n">
        <v>60</v>
      </c>
      <c r="B77" s="26" t="inlineStr">
        <is>
          <t>Task</t>
        </is>
      </c>
      <c r="C77" s="27" t="inlineStr">
        <is>
          <t>Phase 6: Development – Features</t>
        </is>
      </c>
      <c r="D77" s="28" t="inlineStr">
        <is>
          <t>Feature D: User Management</t>
        </is>
      </c>
      <c r="E77" s="29" t="n">
        <v>45897</v>
      </c>
      <c r="F77" s="29" t="n">
        <v>45903</v>
      </c>
      <c r="G77" s="27" t="inlineStr">
        <is>
          <t>David Patel</t>
        </is>
      </c>
      <c r="H77" s="30" t="n">
        <v>0</v>
      </c>
      <c r="I77" s="41" t="inlineStr">
        <is>
          <t>Not Started</t>
        </is>
      </c>
      <c r="J77" s="32" t="inlineStr"/>
    </row>
    <row r="78" outlineLevel="1" ht="20" customHeight="1">
      <c r="A78" s="25" t="n">
        <v>61</v>
      </c>
      <c r="B78" s="26" t="inlineStr">
        <is>
          <t>Task</t>
        </is>
      </c>
      <c r="C78" s="27" t="inlineStr">
        <is>
          <t>Phase 6: Development – Features</t>
        </is>
      </c>
      <c r="D78" s="28" t="inlineStr">
        <is>
          <t>Integration Testing – Features</t>
        </is>
      </c>
      <c r="E78" s="29" t="n">
        <v>45904</v>
      </c>
      <c r="F78" s="29" t="n">
        <v>45910</v>
      </c>
      <c r="G78" s="27" t="inlineStr">
        <is>
          <t>Sophie Bennett</t>
        </is>
      </c>
      <c r="H78" s="30" t="n">
        <v>0</v>
      </c>
      <c r="I78" s="41" t="inlineStr">
        <is>
          <t>Not Started</t>
        </is>
      </c>
      <c r="J78" s="32" t="inlineStr"/>
    </row>
    <row r="79" ht="24" customHeight="1">
      <c r="A79" s="23" t="inlineStr"/>
      <c r="B79" s="23" t="inlineStr">
        <is>
          <t>Phase</t>
        </is>
      </c>
      <c r="C79" s="23" t="inlineStr">
        <is>
          <t>Phase 7: Quality Assurance</t>
        </is>
      </c>
      <c r="D79" s="23" t="inlineStr">
        <is>
          <t>Phase 7: Quality Assurance</t>
        </is>
      </c>
      <c r="E79" s="24" t="n">
        <v>45911</v>
      </c>
      <c r="F79" s="24" t="n">
        <v>45961</v>
      </c>
      <c r="G79" s="23" t="inlineStr"/>
      <c r="H79" s="23" t="inlineStr"/>
      <c r="I79" s="23" t="inlineStr"/>
      <c r="J79" s="23" t="inlineStr"/>
    </row>
    <row r="80" outlineLevel="1" ht="20" customHeight="1">
      <c r="A80" s="25" t="n">
        <v>62</v>
      </c>
      <c r="B80" s="26" t="inlineStr">
        <is>
          <t>Task</t>
        </is>
      </c>
      <c r="C80" s="27" t="inlineStr">
        <is>
          <t>Phase 7: Quality Assurance</t>
        </is>
      </c>
      <c r="D80" s="28" t="inlineStr">
        <is>
          <t>Test Plan Development</t>
        </is>
      </c>
      <c r="E80" s="29" t="n">
        <v>45911</v>
      </c>
      <c r="F80" s="29" t="n">
        <v>45916</v>
      </c>
      <c r="G80" s="27" t="inlineStr">
        <is>
          <t>Sophie Bennett</t>
        </is>
      </c>
      <c r="H80" s="30" t="n">
        <v>0.5</v>
      </c>
      <c r="I80" s="40" t="inlineStr">
        <is>
          <t>In Progress</t>
        </is>
      </c>
      <c r="J80" s="32" t="inlineStr"/>
    </row>
    <row r="81" outlineLevel="1" ht="20" customHeight="1">
      <c r="A81" s="33" t="n">
        <v>63</v>
      </c>
      <c r="B81" s="34" t="inlineStr">
        <is>
          <t>Subtask</t>
        </is>
      </c>
      <c r="C81" s="35" t="inlineStr">
        <is>
          <t>Phase 7: Quality Assurance</t>
        </is>
      </c>
      <c r="D81" s="36" t="inlineStr">
        <is>
          <t xml:space="preserve">    ↳  Define test scenarios &amp; cases</t>
        </is>
      </c>
      <c r="E81" s="37" t="n">
        <v>45917</v>
      </c>
      <c r="F81" s="37" t="n">
        <v>45918</v>
      </c>
      <c r="G81" s="35" t="inlineStr">
        <is>
          <t>Sophie Bennett</t>
        </is>
      </c>
      <c r="H81" s="38" t="n">
        <v>1</v>
      </c>
      <c r="I81" s="31" t="inlineStr">
        <is>
          <t>Completed</t>
        </is>
      </c>
      <c r="J81" s="39" t="inlineStr"/>
    </row>
    <row r="82" outlineLevel="1" ht="20" customHeight="1">
      <c r="A82" s="33" t="n">
        <v>64</v>
      </c>
      <c r="B82" s="34" t="inlineStr">
        <is>
          <t>Subtask</t>
        </is>
      </c>
      <c r="C82" s="35" t="inlineStr">
        <is>
          <t>Phase 7: Quality Assurance</t>
        </is>
      </c>
      <c r="D82" s="36" t="inlineStr">
        <is>
          <t xml:space="preserve">    ↳  Test environment setup</t>
        </is>
      </c>
      <c r="E82" s="37" t="n">
        <v>45917</v>
      </c>
      <c r="F82" s="37" t="n">
        <v>45918</v>
      </c>
      <c r="G82" s="35" t="inlineStr">
        <is>
          <t>Oliver Hughes</t>
        </is>
      </c>
      <c r="H82" s="38" t="n">
        <v>0.5</v>
      </c>
      <c r="I82" s="40" t="inlineStr">
        <is>
          <t>In Progress</t>
        </is>
      </c>
      <c r="J82" s="39" t="inlineStr"/>
    </row>
    <row r="83" outlineLevel="1" ht="20" customHeight="1">
      <c r="A83" s="25" t="n">
        <v>65</v>
      </c>
      <c r="B83" s="26" t="inlineStr">
        <is>
          <t>Task</t>
        </is>
      </c>
      <c r="C83" s="27" t="inlineStr">
        <is>
          <t>Phase 7: Quality Assurance</t>
        </is>
      </c>
      <c r="D83" s="28" t="inlineStr">
        <is>
          <t>System Testing</t>
        </is>
      </c>
      <c r="E83" s="29" t="n">
        <v>45917</v>
      </c>
      <c r="F83" s="29" t="n">
        <v>45930</v>
      </c>
      <c r="G83" s="27" t="inlineStr">
        <is>
          <t>Oliver Hughes</t>
        </is>
      </c>
      <c r="H83" s="30" t="n">
        <v>0</v>
      </c>
      <c r="I83" s="41" t="inlineStr">
        <is>
          <t>Not Started</t>
        </is>
      </c>
      <c r="J83" s="32" t="inlineStr">
        <is>
          <t>Dependent on Dev completion</t>
        </is>
      </c>
    </row>
    <row r="84" outlineLevel="1" ht="20" customHeight="1">
      <c r="A84" s="33" t="n">
        <v>66</v>
      </c>
      <c r="B84" s="34" t="inlineStr">
        <is>
          <t>Subtask</t>
        </is>
      </c>
      <c r="C84" s="35" t="inlineStr">
        <is>
          <t>Phase 7: Quality Assurance</t>
        </is>
      </c>
      <c r="D84" s="36" t="inlineStr">
        <is>
          <t xml:space="preserve">    ↳  Functional system testing</t>
        </is>
      </c>
      <c r="E84" s="37" t="n">
        <v>45931</v>
      </c>
      <c r="F84" s="37" t="n">
        <v>45937</v>
      </c>
      <c r="G84" s="35" t="inlineStr">
        <is>
          <t>Oliver Hughes</t>
        </is>
      </c>
      <c r="H84" s="38" t="n">
        <v>0</v>
      </c>
      <c r="I84" s="41" t="inlineStr">
        <is>
          <t>Not Started</t>
        </is>
      </c>
      <c r="J84" s="39" t="inlineStr"/>
    </row>
    <row r="85" outlineLevel="1" ht="20" customHeight="1">
      <c r="A85" s="33" t="n">
        <v>67</v>
      </c>
      <c r="B85" s="34" t="inlineStr">
        <is>
          <t>Subtask</t>
        </is>
      </c>
      <c r="C85" s="35" t="inlineStr">
        <is>
          <t>Phase 7: Quality Assurance</t>
        </is>
      </c>
      <c r="D85" s="36" t="inlineStr">
        <is>
          <t xml:space="preserve">    ↳  Regression test suite</t>
        </is>
      </c>
      <c r="E85" s="37" t="n">
        <v>45931</v>
      </c>
      <c r="F85" s="37" t="n">
        <v>45933</v>
      </c>
      <c r="G85" s="35" t="inlineStr">
        <is>
          <t>Sophie Bennett</t>
        </is>
      </c>
      <c r="H85" s="38" t="n">
        <v>0</v>
      </c>
      <c r="I85" s="41" t="inlineStr">
        <is>
          <t>Not Started</t>
        </is>
      </c>
      <c r="J85" s="39" t="inlineStr"/>
    </row>
    <row r="86" outlineLevel="1" ht="20" customHeight="1">
      <c r="A86" s="33" t="n">
        <v>68</v>
      </c>
      <c r="B86" s="34" t="inlineStr">
        <is>
          <t>Subtask</t>
        </is>
      </c>
      <c r="C86" s="35" t="inlineStr">
        <is>
          <t>Phase 7: Quality Assurance</t>
        </is>
      </c>
      <c r="D86" s="36" t="inlineStr">
        <is>
          <t xml:space="preserve">    ↳  Accessibility testing</t>
        </is>
      </c>
      <c r="E86" s="37" t="n">
        <v>45931</v>
      </c>
      <c r="F86" s="37" t="n">
        <v>45932</v>
      </c>
      <c r="G86" s="35" t="inlineStr">
        <is>
          <t>Oliver Hughes</t>
        </is>
      </c>
      <c r="H86" s="38" t="n">
        <v>0</v>
      </c>
      <c r="I86" s="41" t="inlineStr">
        <is>
          <t>Not Started</t>
        </is>
      </c>
      <c r="J86" s="39" t="inlineStr"/>
    </row>
    <row r="87" outlineLevel="1" ht="20" customHeight="1">
      <c r="A87" s="25" t="n">
        <v>69</v>
      </c>
      <c r="B87" s="26" t="inlineStr">
        <is>
          <t>Task</t>
        </is>
      </c>
      <c r="C87" s="27" t="inlineStr">
        <is>
          <t>Phase 7: Quality Assurance</t>
        </is>
      </c>
      <c r="D87" s="28" t="inlineStr">
        <is>
          <t>User Acceptance Testing</t>
        </is>
      </c>
      <c r="E87" s="29" t="n">
        <v>45931</v>
      </c>
      <c r="F87" s="29" t="n">
        <v>45944</v>
      </c>
      <c r="G87" s="27" t="inlineStr">
        <is>
          <t>George Harris</t>
        </is>
      </c>
      <c r="H87" s="30" t="n">
        <v>0</v>
      </c>
      <c r="I87" s="41" t="inlineStr">
        <is>
          <t>Not Started</t>
        </is>
      </c>
      <c r="J87" s="32" t="inlineStr">
        <is>
          <t>Stakeholders to participate</t>
        </is>
      </c>
    </row>
    <row r="88" outlineLevel="1" ht="20" customHeight="1">
      <c r="A88" s="33" t="n">
        <v>70</v>
      </c>
      <c r="B88" s="34" t="inlineStr">
        <is>
          <t>Subtask</t>
        </is>
      </c>
      <c r="C88" s="35" t="inlineStr">
        <is>
          <t>Phase 7: Quality Assurance</t>
        </is>
      </c>
      <c r="D88" s="36" t="inlineStr">
        <is>
          <t xml:space="preserve">    ↳  UAT test scripts preparation</t>
        </is>
      </c>
      <c r="E88" s="37" t="n">
        <v>45945</v>
      </c>
      <c r="F88" s="37" t="n">
        <v>45947</v>
      </c>
      <c r="G88" s="35" t="inlineStr">
        <is>
          <t>Amelia Wilson</t>
        </is>
      </c>
      <c r="H88" s="38" t="n">
        <v>0</v>
      </c>
      <c r="I88" s="41" t="inlineStr">
        <is>
          <t>Not Started</t>
        </is>
      </c>
      <c r="J88" s="39" t="inlineStr"/>
    </row>
    <row r="89" outlineLevel="1" ht="20" customHeight="1">
      <c r="A89" s="33" t="n">
        <v>71</v>
      </c>
      <c r="B89" s="34" t="inlineStr">
        <is>
          <t>Subtask</t>
        </is>
      </c>
      <c r="C89" s="35" t="inlineStr">
        <is>
          <t>Phase 7: Quality Assurance</t>
        </is>
      </c>
      <c r="D89" s="36" t="inlineStr">
        <is>
          <t xml:space="preserve">    ↳  UAT execution</t>
        </is>
      </c>
      <c r="E89" s="37" t="n">
        <v>45945</v>
      </c>
      <c r="F89" s="37" t="n">
        <v>45951</v>
      </c>
      <c r="G89" s="35" t="inlineStr">
        <is>
          <t>George Harris</t>
        </is>
      </c>
      <c r="H89" s="38" t="n">
        <v>0</v>
      </c>
      <c r="I89" s="41" t="inlineStr">
        <is>
          <t>Not Started</t>
        </is>
      </c>
      <c r="J89" s="39" t="inlineStr"/>
    </row>
    <row r="90" outlineLevel="1" ht="20" customHeight="1">
      <c r="A90" s="33" t="n">
        <v>72</v>
      </c>
      <c r="B90" s="34" t="inlineStr">
        <is>
          <t>Subtask</t>
        </is>
      </c>
      <c r="C90" s="35" t="inlineStr">
        <is>
          <t>Phase 7: Quality Assurance</t>
        </is>
      </c>
      <c r="D90" s="36" t="inlineStr">
        <is>
          <t xml:space="preserve">    ↳  UAT sign-off</t>
        </is>
      </c>
      <c r="E90" s="37" t="n">
        <v>45945</v>
      </c>
      <c r="F90" s="37" t="n">
        <v>45946</v>
      </c>
      <c r="G90" s="35" t="inlineStr">
        <is>
          <t>George Harris</t>
        </is>
      </c>
      <c r="H90" s="38" t="n">
        <v>0</v>
      </c>
      <c r="I90" s="41" t="inlineStr">
        <is>
          <t>Not Started</t>
        </is>
      </c>
      <c r="J90" s="39" t="inlineStr"/>
    </row>
    <row r="91" outlineLevel="1" ht="20" customHeight="1">
      <c r="A91" s="25" t="n">
        <v>73</v>
      </c>
      <c r="B91" s="26" t="inlineStr">
        <is>
          <t>Task</t>
        </is>
      </c>
      <c r="C91" s="27" t="inlineStr">
        <is>
          <t>Phase 7: Quality Assurance</t>
        </is>
      </c>
      <c r="D91" s="28" t="inlineStr">
        <is>
          <t>Bug Triage &amp; Resolution</t>
        </is>
      </c>
      <c r="E91" s="29" t="n">
        <v>45945</v>
      </c>
      <c r="F91" s="29" t="n">
        <v>45954</v>
      </c>
      <c r="G91" s="27" t="inlineStr">
        <is>
          <t>David Patel</t>
        </is>
      </c>
      <c r="H91" s="30" t="n">
        <v>0</v>
      </c>
      <c r="I91" s="41" t="inlineStr">
        <is>
          <t>Not Started</t>
        </is>
      </c>
      <c r="J91" s="32" t="inlineStr"/>
    </row>
    <row r="92" outlineLevel="1" ht="20" customHeight="1">
      <c r="A92" s="25" t="n">
        <v>74</v>
      </c>
      <c r="B92" s="26" t="inlineStr">
        <is>
          <t>Task</t>
        </is>
      </c>
      <c r="C92" s="27" t="inlineStr">
        <is>
          <t>Phase 7: Quality Assurance</t>
        </is>
      </c>
      <c r="D92" s="28" t="inlineStr">
        <is>
          <t>Performance Testing</t>
        </is>
      </c>
      <c r="E92" s="29" t="n">
        <v>45957</v>
      </c>
      <c r="F92" s="29" t="n">
        <v>45961</v>
      </c>
      <c r="G92" s="27" t="inlineStr">
        <is>
          <t>Oliver Hughes</t>
        </is>
      </c>
      <c r="H92" s="30" t="n">
        <v>0</v>
      </c>
      <c r="I92" s="41" t="inlineStr">
        <is>
          <t>Not Started</t>
        </is>
      </c>
      <c r="J92" s="32" t="inlineStr">
        <is>
          <t>Load &amp; stress testing</t>
        </is>
      </c>
    </row>
    <row r="93" ht="24" customHeight="1">
      <c r="A93" s="23" t="inlineStr"/>
      <c r="B93" s="23" t="inlineStr">
        <is>
          <t>Phase</t>
        </is>
      </c>
      <c r="C93" s="23" t="inlineStr">
        <is>
          <t>Phase 8: Security &amp; Integration</t>
        </is>
      </c>
      <c r="D93" s="23" t="inlineStr">
        <is>
          <t>Phase 8: Security &amp; Integration</t>
        </is>
      </c>
      <c r="E93" s="24" t="n">
        <v>45964</v>
      </c>
      <c r="F93" s="24" t="n">
        <v>45992</v>
      </c>
      <c r="G93" s="23" t="inlineStr"/>
      <c r="H93" s="23" t="inlineStr"/>
      <c r="I93" s="23" t="inlineStr"/>
      <c r="J93" s="23" t="inlineStr"/>
    </row>
    <row r="94" outlineLevel="1" ht="20" customHeight="1">
      <c r="A94" s="25" t="n">
        <v>75</v>
      </c>
      <c r="B94" s="26" t="inlineStr">
        <is>
          <t>Task</t>
        </is>
      </c>
      <c r="C94" s="27" t="inlineStr">
        <is>
          <t>Phase 8: Security &amp; Integration</t>
        </is>
      </c>
      <c r="D94" s="28" t="inlineStr">
        <is>
          <t>Security Audit</t>
        </is>
      </c>
      <c r="E94" s="29" t="n">
        <v>45964</v>
      </c>
      <c r="F94" s="29" t="n">
        <v>45968</v>
      </c>
      <c r="G94" s="27" t="inlineStr">
        <is>
          <t>Henry Walker</t>
        </is>
      </c>
      <c r="H94" s="30" t="n">
        <v>0</v>
      </c>
      <c r="I94" s="41" t="inlineStr">
        <is>
          <t>Not Started</t>
        </is>
      </c>
      <c r="J94" s="32" t="inlineStr">
        <is>
          <t>External pen test booked</t>
        </is>
      </c>
    </row>
    <row r="95" outlineLevel="1" ht="20" customHeight="1">
      <c r="A95" s="33" t="n">
        <v>76</v>
      </c>
      <c r="B95" s="34" t="inlineStr">
        <is>
          <t>Subtask</t>
        </is>
      </c>
      <c r="C95" s="35" t="inlineStr">
        <is>
          <t>Phase 8: Security &amp; Integration</t>
        </is>
      </c>
      <c r="D95" s="36" t="inlineStr">
        <is>
          <t xml:space="preserve">    ↳  Vulnerability scanning</t>
        </is>
      </c>
      <c r="E95" s="37" t="n">
        <v>45971</v>
      </c>
      <c r="F95" s="37" t="n">
        <v>45972</v>
      </c>
      <c r="G95" s="35" t="inlineStr">
        <is>
          <t>Henry Walker</t>
        </is>
      </c>
      <c r="H95" s="38" t="n">
        <v>0</v>
      </c>
      <c r="I95" s="41" t="inlineStr">
        <is>
          <t>Not Started</t>
        </is>
      </c>
      <c r="J95" s="39" t="inlineStr"/>
    </row>
    <row r="96" outlineLevel="1" ht="20" customHeight="1">
      <c r="A96" s="33" t="n">
        <v>77</v>
      </c>
      <c r="B96" s="34" t="inlineStr">
        <is>
          <t>Subtask</t>
        </is>
      </c>
      <c r="C96" s="35" t="inlineStr">
        <is>
          <t>Phase 8: Security &amp; Integration</t>
        </is>
      </c>
      <c r="D96" s="36" t="inlineStr">
        <is>
          <t xml:space="preserve">    ↳  Penetration testing</t>
        </is>
      </c>
      <c r="E96" s="37" t="n">
        <v>45971</v>
      </c>
      <c r="F96" s="37" t="n">
        <v>45972</v>
      </c>
      <c r="G96" s="35" t="inlineStr">
        <is>
          <t>Henry Walker</t>
        </is>
      </c>
      <c r="H96" s="38" t="n">
        <v>0</v>
      </c>
      <c r="I96" s="41" t="inlineStr">
        <is>
          <t>Not Started</t>
        </is>
      </c>
      <c r="J96" s="39" t="inlineStr"/>
    </row>
    <row r="97" outlineLevel="1" ht="20" customHeight="1">
      <c r="A97" s="33" t="n">
        <v>78</v>
      </c>
      <c r="B97" s="34" t="inlineStr">
        <is>
          <t>Subtask</t>
        </is>
      </c>
      <c r="C97" s="35" t="inlineStr">
        <is>
          <t>Phase 8: Security &amp; Integration</t>
        </is>
      </c>
      <c r="D97" s="36" t="inlineStr">
        <is>
          <t xml:space="preserve">    ↳  Security remediation</t>
        </is>
      </c>
      <c r="E97" s="37" t="n">
        <v>45971</v>
      </c>
      <c r="F97" s="37" t="n">
        <v>45971</v>
      </c>
      <c r="G97" s="35" t="inlineStr">
        <is>
          <t>David Patel</t>
        </is>
      </c>
      <c r="H97" s="38" t="n">
        <v>0</v>
      </c>
      <c r="I97" s="41" t="inlineStr">
        <is>
          <t>Not Started</t>
        </is>
      </c>
      <c r="J97" s="39" t="inlineStr"/>
    </row>
    <row r="98" outlineLevel="1" ht="20" customHeight="1">
      <c r="A98" s="25" t="n">
        <v>79</v>
      </c>
      <c r="B98" s="26" t="inlineStr">
        <is>
          <t>Task</t>
        </is>
      </c>
      <c r="C98" s="27" t="inlineStr">
        <is>
          <t>Phase 8: Security &amp; Integration</t>
        </is>
      </c>
      <c r="D98" s="28" t="inlineStr">
        <is>
          <t>Third-party Integration</t>
        </is>
      </c>
      <c r="E98" s="29" t="n">
        <v>45971</v>
      </c>
      <c r="F98" s="29" t="n">
        <v>45978</v>
      </c>
      <c r="G98" s="27" t="inlineStr">
        <is>
          <t>David Patel</t>
        </is>
      </c>
      <c r="H98" s="30" t="n">
        <v>0</v>
      </c>
      <c r="I98" s="41" t="inlineStr">
        <is>
          <t>Not Started</t>
        </is>
      </c>
      <c r="J98" s="32" t="inlineStr">
        <is>
          <t>CRM &amp; ERP connectors</t>
        </is>
      </c>
    </row>
    <row r="99" outlineLevel="1" ht="20" customHeight="1">
      <c r="A99" s="33" t="n">
        <v>80</v>
      </c>
      <c r="B99" s="34" t="inlineStr">
        <is>
          <t>Subtask</t>
        </is>
      </c>
      <c r="C99" s="35" t="inlineStr">
        <is>
          <t>Phase 8: Security &amp; Integration</t>
        </is>
      </c>
      <c r="D99" s="36" t="inlineStr">
        <is>
          <t xml:space="preserve">    ↳  CRM API integration</t>
        </is>
      </c>
      <c r="E99" s="37" t="n">
        <v>45979</v>
      </c>
      <c r="F99" s="37" t="n">
        <v>45981</v>
      </c>
      <c r="G99" s="35" t="inlineStr">
        <is>
          <t>David Patel</t>
        </is>
      </c>
      <c r="H99" s="38" t="n">
        <v>0</v>
      </c>
      <c r="I99" s="41" t="inlineStr">
        <is>
          <t>Not Started</t>
        </is>
      </c>
      <c r="J99" s="39" t="inlineStr"/>
    </row>
    <row r="100" outlineLevel="1" ht="20" customHeight="1">
      <c r="A100" s="33" t="n">
        <v>81</v>
      </c>
      <c r="B100" s="34" t="inlineStr">
        <is>
          <t>Subtask</t>
        </is>
      </c>
      <c r="C100" s="35" t="inlineStr">
        <is>
          <t>Phase 8: Security &amp; Integration</t>
        </is>
      </c>
      <c r="D100" s="36" t="inlineStr">
        <is>
          <t xml:space="preserve">    ↳  ERP data sync</t>
        </is>
      </c>
      <c r="E100" s="37" t="n">
        <v>45979</v>
      </c>
      <c r="F100" s="37" t="n">
        <v>45981</v>
      </c>
      <c r="G100" s="35" t="inlineStr">
        <is>
          <t>Emma Clarke</t>
        </is>
      </c>
      <c r="H100" s="38" t="n">
        <v>0</v>
      </c>
      <c r="I100" s="41" t="inlineStr">
        <is>
          <t>Not Started</t>
        </is>
      </c>
      <c r="J100" s="39" t="inlineStr"/>
    </row>
    <row r="101" outlineLevel="1" ht="20" customHeight="1">
      <c r="A101" s="25" t="n">
        <v>82</v>
      </c>
      <c r="B101" s="26" t="inlineStr">
        <is>
          <t>Task</t>
        </is>
      </c>
      <c r="C101" s="27" t="inlineStr">
        <is>
          <t>Phase 8: Security &amp; Integration</t>
        </is>
      </c>
      <c r="D101" s="28" t="inlineStr">
        <is>
          <t>End-to-End Integration Testing</t>
        </is>
      </c>
      <c r="E101" s="29" t="n">
        <v>45979</v>
      </c>
      <c r="F101" s="29" t="n">
        <v>45985</v>
      </c>
      <c r="G101" s="27" t="inlineStr">
        <is>
          <t>Sophie Bennett</t>
        </is>
      </c>
      <c r="H101" s="30" t="n">
        <v>0</v>
      </c>
      <c r="I101" s="41" t="inlineStr">
        <is>
          <t>Not Started</t>
        </is>
      </c>
      <c r="J101" s="32" t="inlineStr"/>
    </row>
    <row r="102" outlineLevel="1" ht="20" customHeight="1">
      <c r="A102" s="25" t="n">
        <v>83</v>
      </c>
      <c r="B102" s="26" t="inlineStr">
        <is>
          <t>Task</t>
        </is>
      </c>
      <c r="C102" s="27" t="inlineStr">
        <is>
          <t>Phase 8: Security &amp; Integration</t>
        </is>
      </c>
      <c r="D102" s="28" t="inlineStr">
        <is>
          <t>Data Migration &amp; Validation</t>
        </is>
      </c>
      <c r="E102" s="29" t="n">
        <v>45986</v>
      </c>
      <c r="F102" s="29" t="n">
        <v>45992</v>
      </c>
      <c r="G102" s="27" t="inlineStr">
        <is>
          <t>Amelia Wilson</t>
        </is>
      </c>
      <c r="H102" s="30" t="n">
        <v>0</v>
      </c>
      <c r="I102" s="41" t="inlineStr">
        <is>
          <t>Not Started</t>
        </is>
      </c>
      <c r="J102" s="32" t="inlineStr">
        <is>
          <t>Legacy data migration plan</t>
        </is>
      </c>
    </row>
    <row r="103" outlineLevel="1" ht="20" customHeight="1">
      <c r="A103" s="33" t="n">
        <v>84</v>
      </c>
      <c r="B103" s="34" t="inlineStr">
        <is>
          <t>Subtask</t>
        </is>
      </c>
      <c r="C103" s="35" t="inlineStr">
        <is>
          <t>Phase 8: Security &amp; Integration</t>
        </is>
      </c>
      <c r="D103" s="36" t="inlineStr">
        <is>
          <t xml:space="preserve">    ↳  Data mapping specification</t>
        </is>
      </c>
      <c r="E103" s="37" t="n">
        <v>45993</v>
      </c>
      <c r="F103" s="37" t="n">
        <v>45994</v>
      </c>
      <c r="G103" s="35" t="inlineStr">
        <is>
          <t>Amelia Wilson</t>
        </is>
      </c>
      <c r="H103" s="38" t="n">
        <v>0</v>
      </c>
      <c r="I103" s="41" t="inlineStr">
        <is>
          <t>Not Started</t>
        </is>
      </c>
      <c r="J103" s="39" t="inlineStr"/>
    </row>
    <row r="104" outlineLevel="1" ht="20" customHeight="1">
      <c r="A104" s="33" t="n">
        <v>85</v>
      </c>
      <c r="B104" s="34" t="inlineStr">
        <is>
          <t>Subtask</t>
        </is>
      </c>
      <c r="C104" s="35" t="inlineStr">
        <is>
          <t>Phase 8: Security &amp; Integration</t>
        </is>
      </c>
      <c r="D104" s="36" t="inlineStr">
        <is>
          <t xml:space="preserve">    ↳  Migration dry-run &amp; validation</t>
        </is>
      </c>
      <c r="E104" s="37" t="n">
        <v>45993</v>
      </c>
      <c r="F104" s="37" t="n">
        <v>45995</v>
      </c>
      <c r="G104" s="35" t="inlineStr">
        <is>
          <t>Isla Roberts</t>
        </is>
      </c>
      <c r="H104" s="38" t="n">
        <v>0</v>
      </c>
      <c r="I104" s="41" t="inlineStr">
        <is>
          <t>Not Started</t>
        </is>
      </c>
      <c r="J104" s="39" t="inlineStr"/>
    </row>
    <row r="105" ht="24" customHeight="1">
      <c r="A105" s="23" t="inlineStr"/>
      <c r="B105" s="23" t="inlineStr">
        <is>
          <t>Phase</t>
        </is>
      </c>
      <c r="C105" s="23" t="inlineStr">
        <is>
          <t>Phase 9: Infrastructure &amp; Deployment Prep</t>
        </is>
      </c>
      <c r="D105" s="23" t="inlineStr">
        <is>
          <t>Phase 9: Infrastructure &amp; Deployment Prep</t>
        </is>
      </c>
      <c r="E105" s="24" t="n">
        <v>45996</v>
      </c>
      <c r="F105" s="24" t="n">
        <v>46030</v>
      </c>
      <c r="G105" s="23" t="inlineStr"/>
      <c r="H105" s="23" t="inlineStr"/>
      <c r="I105" s="23" t="inlineStr"/>
      <c r="J105" s="23" t="inlineStr"/>
    </row>
    <row r="106" outlineLevel="1" ht="20" customHeight="1">
      <c r="A106" s="25" t="n">
        <v>86</v>
      </c>
      <c r="B106" s="26" t="inlineStr">
        <is>
          <t>Task</t>
        </is>
      </c>
      <c r="C106" s="27" t="inlineStr">
        <is>
          <t>Phase 9: Infrastructure &amp; Deployment Prep</t>
        </is>
      </c>
      <c r="D106" s="28" t="inlineStr">
        <is>
          <t>Production Infrastructure Setup</t>
        </is>
      </c>
      <c r="E106" s="29" t="n">
        <v>45996</v>
      </c>
      <c r="F106" s="29" t="n">
        <v>46007</v>
      </c>
      <c r="G106" s="27" t="inlineStr">
        <is>
          <t>Isla Roberts</t>
        </is>
      </c>
      <c r="H106" s="30" t="n">
        <v>0</v>
      </c>
      <c r="I106" s="41" t="inlineStr">
        <is>
          <t>Not Started</t>
        </is>
      </c>
      <c r="J106" s="32" t="inlineStr">
        <is>
          <t>Cloud provisioning required</t>
        </is>
      </c>
    </row>
    <row r="107" outlineLevel="1" ht="20" customHeight="1">
      <c r="A107" s="33" t="n">
        <v>87</v>
      </c>
      <c r="B107" s="34" t="inlineStr">
        <is>
          <t>Subtask</t>
        </is>
      </c>
      <c r="C107" s="35" t="inlineStr">
        <is>
          <t>Phase 9: Infrastructure &amp; Deployment Prep</t>
        </is>
      </c>
      <c r="D107" s="36" t="inlineStr">
        <is>
          <t xml:space="preserve">    ↳  Cloud environment provisioning</t>
        </is>
      </c>
      <c r="E107" s="37" t="n">
        <v>46008</v>
      </c>
      <c r="F107" s="37" t="n">
        <v>46010</v>
      </c>
      <c r="G107" s="35" t="inlineStr">
        <is>
          <t>Isla Roberts</t>
        </is>
      </c>
      <c r="H107" s="38" t="n">
        <v>0</v>
      </c>
      <c r="I107" s="41" t="inlineStr">
        <is>
          <t>Not Started</t>
        </is>
      </c>
      <c r="J107" s="39" t="inlineStr"/>
    </row>
    <row r="108" outlineLevel="1" ht="20" customHeight="1">
      <c r="A108" s="33" t="n">
        <v>88</v>
      </c>
      <c r="B108" s="34" t="inlineStr">
        <is>
          <t>Subtask</t>
        </is>
      </c>
      <c r="C108" s="35" t="inlineStr">
        <is>
          <t>Phase 9: Infrastructure &amp; Deployment Prep</t>
        </is>
      </c>
      <c r="D108" s="36" t="inlineStr">
        <is>
          <t xml:space="preserve">    ↳  Network &amp; firewall configuration</t>
        </is>
      </c>
      <c r="E108" s="37" t="n">
        <v>46008</v>
      </c>
      <c r="F108" s="37" t="n">
        <v>46009</v>
      </c>
      <c r="G108" s="35" t="inlineStr">
        <is>
          <t>Isla Roberts</t>
        </is>
      </c>
      <c r="H108" s="38" t="n">
        <v>0</v>
      </c>
      <c r="I108" s="41" t="inlineStr">
        <is>
          <t>Not Started</t>
        </is>
      </c>
      <c r="J108" s="39" t="inlineStr"/>
    </row>
    <row r="109" outlineLevel="1" ht="20" customHeight="1">
      <c r="A109" s="33" t="n">
        <v>89</v>
      </c>
      <c r="B109" s="34" t="inlineStr">
        <is>
          <t>Subtask</t>
        </is>
      </c>
      <c r="C109" s="35" t="inlineStr">
        <is>
          <t>Phase 9: Infrastructure &amp; Deployment Prep</t>
        </is>
      </c>
      <c r="D109" s="36" t="inlineStr">
        <is>
          <t xml:space="preserve">    ↳  Monitoring &amp; alerting setup</t>
        </is>
      </c>
      <c r="E109" s="37" t="n">
        <v>46008</v>
      </c>
      <c r="F109" s="37" t="n">
        <v>46010</v>
      </c>
      <c r="G109" s="35" t="inlineStr">
        <is>
          <t>Isla Roberts</t>
        </is>
      </c>
      <c r="H109" s="38" t="n">
        <v>0</v>
      </c>
      <c r="I109" s="41" t="inlineStr">
        <is>
          <t>Not Started</t>
        </is>
      </c>
      <c r="J109" s="39" t="inlineStr"/>
    </row>
    <row r="110" outlineLevel="1" ht="20" customHeight="1">
      <c r="A110" s="25" t="n">
        <v>90</v>
      </c>
      <c r="B110" s="26" t="inlineStr">
        <is>
          <t>Task</t>
        </is>
      </c>
      <c r="C110" s="27" t="inlineStr">
        <is>
          <t>Phase 9: Infrastructure &amp; Deployment Prep</t>
        </is>
      </c>
      <c r="D110" s="28" t="inlineStr">
        <is>
          <t>Deployment Pipeline Automation</t>
        </is>
      </c>
      <c r="E110" s="29" t="n">
        <v>46008</v>
      </c>
      <c r="F110" s="29" t="n">
        <v>46014</v>
      </c>
      <c r="G110" s="27" t="inlineStr">
        <is>
          <t>Isla Roberts</t>
        </is>
      </c>
      <c r="H110" s="30" t="n">
        <v>0</v>
      </c>
      <c r="I110" s="41" t="inlineStr">
        <is>
          <t>Not Started</t>
        </is>
      </c>
      <c r="J110" s="32" t="inlineStr"/>
    </row>
    <row r="111" outlineLevel="1" ht="20" customHeight="1">
      <c r="A111" s="25" t="n">
        <v>91</v>
      </c>
      <c r="B111" s="26" t="inlineStr">
        <is>
          <t>Task</t>
        </is>
      </c>
      <c r="C111" s="27" t="inlineStr">
        <is>
          <t>Phase 9: Infrastructure &amp; Deployment Prep</t>
        </is>
      </c>
      <c r="D111" s="28" t="inlineStr">
        <is>
          <t>Disaster Recovery &amp; Backup Plan</t>
        </is>
      </c>
      <c r="E111" s="29" t="n">
        <v>46015</v>
      </c>
      <c r="F111" s="29" t="n">
        <v>46022</v>
      </c>
      <c r="G111" s="27" t="inlineStr">
        <is>
          <t>Isla Roberts</t>
        </is>
      </c>
      <c r="H111" s="30" t="n">
        <v>0</v>
      </c>
      <c r="I111" s="41" t="inlineStr">
        <is>
          <t>Not Started</t>
        </is>
      </c>
      <c r="J111" s="32" t="inlineStr"/>
    </row>
    <row r="112" outlineLevel="1" ht="20" customHeight="1">
      <c r="A112" s="33" t="n">
        <v>92</v>
      </c>
      <c r="B112" s="34" t="inlineStr">
        <is>
          <t>Subtask</t>
        </is>
      </c>
      <c r="C112" s="35" t="inlineStr">
        <is>
          <t>Phase 9: Infrastructure &amp; Deployment Prep</t>
        </is>
      </c>
      <c r="D112" s="36" t="inlineStr">
        <is>
          <t xml:space="preserve">    ↳  Backup procedures documentation</t>
        </is>
      </c>
      <c r="E112" s="37" t="n">
        <v>46024</v>
      </c>
      <c r="F112" s="37" t="n">
        <v>46027</v>
      </c>
      <c r="G112" s="35" t="inlineStr">
        <is>
          <t>Isla Roberts</t>
        </is>
      </c>
      <c r="H112" s="38" t="n">
        <v>0</v>
      </c>
      <c r="I112" s="41" t="inlineStr">
        <is>
          <t>Not Started</t>
        </is>
      </c>
      <c r="J112" s="39" t="inlineStr"/>
    </row>
    <row r="113" outlineLevel="1" ht="20" customHeight="1">
      <c r="A113" s="33" t="n">
        <v>93</v>
      </c>
      <c r="B113" s="34" t="inlineStr">
        <is>
          <t>Subtask</t>
        </is>
      </c>
      <c r="C113" s="35" t="inlineStr">
        <is>
          <t>Phase 9: Infrastructure &amp; Deployment Prep</t>
        </is>
      </c>
      <c r="D113" s="36" t="inlineStr">
        <is>
          <t xml:space="preserve">    ↳  DR runbook creation</t>
        </is>
      </c>
      <c r="E113" s="37" t="n">
        <v>46024</v>
      </c>
      <c r="F113" s="37" t="n">
        <v>46027</v>
      </c>
      <c r="G113" s="35" t="inlineStr">
        <is>
          <t>David Patel</t>
        </is>
      </c>
      <c r="H113" s="38" t="n">
        <v>0</v>
      </c>
      <c r="I113" s="41" t="inlineStr">
        <is>
          <t>Not Started</t>
        </is>
      </c>
      <c r="J113" s="39" t="inlineStr"/>
    </row>
    <row r="114" outlineLevel="1" ht="20" customHeight="1">
      <c r="A114" s="25" t="n">
        <v>94</v>
      </c>
      <c r="B114" s="26" t="inlineStr">
        <is>
          <t>Task</t>
        </is>
      </c>
      <c r="C114" s="27" t="inlineStr">
        <is>
          <t>Phase 9: Infrastructure &amp; Deployment Prep</t>
        </is>
      </c>
      <c r="D114" s="28" t="inlineStr">
        <is>
          <t>Rollback Plan Development</t>
        </is>
      </c>
      <c r="E114" s="29" t="n">
        <v>46024</v>
      </c>
      <c r="F114" s="29" t="n">
        <v>46027</v>
      </c>
      <c r="G114" s="27" t="inlineStr">
        <is>
          <t>James Thornton</t>
        </is>
      </c>
      <c r="H114" s="30" t="n">
        <v>0</v>
      </c>
      <c r="I114" s="41" t="inlineStr">
        <is>
          <t>Not Started</t>
        </is>
      </c>
      <c r="J114" s="32" t="inlineStr"/>
    </row>
    <row r="115" outlineLevel="1" ht="20" customHeight="1">
      <c r="A115" s="25" t="n">
        <v>95</v>
      </c>
      <c r="B115" s="26" t="inlineStr">
        <is>
          <t>Task</t>
        </is>
      </c>
      <c r="C115" s="27" t="inlineStr">
        <is>
          <t>Phase 9: Infrastructure &amp; Deployment Prep</t>
        </is>
      </c>
      <c r="D115" s="28" t="inlineStr">
        <is>
          <t>Go-Live Deployment Checklist</t>
        </is>
      </c>
      <c r="E115" s="29" t="n">
        <v>46028</v>
      </c>
      <c r="F115" s="29" t="n">
        <v>46030</v>
      </c>
      <c r="G115" s="27" t="inlineStr">
        <is>
          <t>James Thornton</t>
        </is>
      </c>
      <c r="H115" s="30" t="n">
        <v>0</v>
      </c>
      <c r="I115" s="41" t="inlineStr">
        <is>
          <t>Not Started</t>
        </is>
      </c>
      <c r="J115" s="32" t="inlineStr"/>
    </row>
    <row r="116" ht="24" customHeight="1">
      <c r="A116" s="23" t="inlineStr"/>
      <c r="B116" s="23" t="inlineStr">
        <is>
          <t>Phase</t>
        </is>
      </c>
      <c r="C116" s="23" t="inlineStr">
        <is>
          <t>Phase 10: Training</t>
        </is>
      </c>
      <c r="D116" s="23" t="inlineStr">
        <is>
          <t>Phase 10: Training</t>
        </is>
      </c>
      <c r="E116" s="24" t="n">
        <v>46031</v>
      </c>
      <c r="F116" s="24" t="n">
        <v>46056</v>
      </c>
      <c r="G116" s="23" t="inlineStr"/>
      <c r="H116" s="23" t="inlineStr"/>
      <c r="I116" s="23" t="inlineStr"/>
      <c r="J116" s="23" t="inlineStr"/>
    </row>
    <row r="117" outlineLevel="1" ht="20" customHeight="1">
      <c r="A117" s="25" t="n">
        <v>96</v>
      </c>
      <c r="B117" s="26" t="inlineStr">
        <is>
          <t>Task</t>
        </is>
      </c>
      <c r="C117" s="27" t="inlineStr">
        <is>
          <t>Phase 10: Training</t>
        </is>
      </c>
      <c r="D117" s="28" t="inlineStr">
        <is>
          <t>Training Materials Development</t>
        </is>
      </c>
      <c r="E117" s="29" t="n">
        <v>46031</v>
      </c>
      <c r="F117" s="29" t="n">
        <v>46042</v>
      </c>
      <c r="G117" s="27" t="inlineStr">
        <is>
          <t>Poppy White</t>
        </is>
      </c>
      <c r="H117" s="30" t="n">
        <v>0</v>
      </c>
      <c r="I117" s="41" t="inlineStr">
        <is>
          <t>Not Started</t>
        </is>
      </c>
      <c r="J117" s="32" t="inlineStr"/>
    </row>
    <row r="118" outlineLevel="1" ht="20" customHeight="1">
      <c r="A118" s="33" t="n">
        <v>97</v>
      </c>
      <c r="B118" s="34" t="inlineStr">
        <is>
          <t>Subtask</t>
        </is>
      </c>
      <c r="C118" s="35" t="inlineStr">
        <is>
          <t>Phase 10: Training</t>
        </is>
      </c>
      <c r="D118" s="36" t="inlineStr">
        <is>
          <t xml:space="preserve">    ↳  End-user training manuals</t>
        </is>
      </c>
      <c r="E118" s="37" t="n">
        <v>46043</v>
      </c>
      <c r="F118" s="37" t="n">
        <v>46045</v>
      </c>
      <c r="G118" s="35" t="inlineStr">
        <is>
          <t>Poppy White</t>
        </is>
      </c>
      <c r="H118" s="38" t="n">
        <v>0</v>
      </c>
      <c r="I118" s="41" t="inlineStr">
        <is>
          <t>Not Started</t>
        </is>
      </c>
      <c r="J118" s="39" t="inlineStr"/>
    </row>
    <row r="119" outlineLevel="1" ht="20" customHeight="1">
      <c r="A119" s="33" t="n">
        <v>98</v>
      </c>
      <c r="B119" s="34" t="inlineStr">
        <is>
          <t>Subtask</t>
        </is>
      </c>
      <c r="C119" s="35" t="inlineStr">
        <is>
          <t>Phase 10: Training</t>
        </is>
      </c>
      <c r="D119" s="36" t="inlineStr">
        <is>
          <t xml:space="preserve">    ↳  System admin guide</t>
        </is>
      </c>
      <c r="E119" s="37" t="n">
        <v>46043</v>
      </c>
      <c r="F119" s="37" t="n">
        <v>46044</v>
      </c>
      <c r="G119" s="35" t="inlineStr">
        <is>
          <t>David Patel</t>
        </is>
      </c>
      <c r="H119" s="38" t="n">
        <v>0</v>
      </c>
      <c r="I119" s="41" t="inlineStr">
        <is>
          <t>Not Started</t>
        </is>
      </c>
      <c r="J119" s="39" t="inlineStr"/>
    </row>
    <row r="120" outlineLevel="1" ht="20" customHeight="1">
      <c r="A120" s="33" t="n">
        <v>99</v>
      </c>
      <c r="B120" s="34" t="inlineStr">
        <is>
          <t>Subtask</t>
        </is>
      </c>
      <c r="C120" s="35" t="inlineStr">
        <is>
          <t>Phase 10: Training</t>
        </is>
      </c>
      <c r="D120" s="36" t="inlineStr">
        <is>
          <t xml:space="preserve">    ↳  Video tutorial creation</t>
        </is>
      </c>
      <c r="E120" s="37" t="n">
        <v>46043</v>
      </c>
      <c r="F120" s="37" t="n">
        <v>46045</v>
      </c>
      <c r="G120" s="35" t="inlineStr">
        <is>
          <t>Poppy White</t>
        </is>
      </c>
      <c r="H120" s="38" t="n">
        <v>0</v>
      </c>
      <c r="I120" s="41" t="inlineStr">
        <is>
          <t>Not Started</t>
        </is>
      </c>
      <c r="J120" s="39" t="inlineStr"/>
    </row>
    <row r="121" outlineLevel="1" ht="20" customHeight="1">
      <c r="A121" s="25" t="n">
        <v>100</v>
      </c>
      <c r="B121" s="26" t="inlineStr">
        <is>
          <t>Task</t>
        </is>
      </c>
      <c r="C121" s="27" t="inlineStr">
        <is>
          <t>Phase 10: Training</t>
        </is>
      </c>
      <c r="D121" s="28" t="inlineStr">
        <is>
          <t>IT/Admin Team Training</t>
        </is>
      </c>
      <c r="E121" s="29" t="n">
        <v>46043</v>
      </c>
      <c r="F121" s="29" t="n">
        <v>46045</v>
      </c>
      <c r="G121" s="27" t="inlineStr">
        <is>
          <t>Poppy White</t>
        </is>
      </c>
      <c r="H121" s="30" t="n">
        <v>0</v>
      </c>
      <c r="I121" s="41" t="inlineStr">
        <is>
          <t>Not Started</t>
        </is>
      </c>
      <c r="J121" s="32" t="inlineStr"/>
    </row>
    <row r="122" outlineLevel="1" ht="20" customHeight="1">
      <c r="A122" s="33" t="n">
        <v>101</v>
      </c>
      <c r="B122" s="34" t="inlineStr">
        <is>
          <t>Subtask</t>
        </is>
      </c>
      <c r="C122" s="35" t="inlineStr">
        <is>
          <t>Phase 10: Training</t>
        </is>
      </c>
      <c r="D122" s="36" t="inlineStr">
        <is>
          <t xml:space="preserve">    ↳  System administration training</t>
        </is>
      </c>
      <c r="E122" s="37" t="n">
        <v>46048</v>
      </c>
      <c r="F122" s="37" t="n">
        <v>46049</v>
      </c>
      <c r="G122" s="35" t="inlineStr">
        <is>
          <t>Isla Roberts</t>
        </is>
      </c>
      <c r="H122" s="38" t="n">
        <v>0</v>
      </c>
      <c r="I122" s="41" t="inlineStr">
        <is>
          <t>Not Started</t>
        </is>
      </c>
      <c r="J122" s="39" t="inlineStr"/>
    </row>
    <row r="123" outlineLevel="1" ht="20" customHeight="1">
      <c r="A123" s="33" t="n">
        <v>102</v>
      </c>
      <c r="B123" s="34" t="inlineStr">
        <is>
          <t>Subtask</t>
        </is>
      </c>
      <c r="C123" s="35" t="inlineStr">
        <is>
          <t>Phase 10: Training</t>
        </is>
      </c>
      <c r="D123" s="36" t="inlineStr">
        <is>
          <t xml:space="preserve">    ↳  Helpdesk procedure training</t>
        </is>
      </c>
      <c r="E123" s="37" t="n">
        <v>46048</v>
      </c>
      <c r="F123" s="37" t="n">
        <v>46048</v>
      </c>
      <c r="G123" s="35" t="inlineStr">
        <is>
          <t>Poppy White</t>
        </is>
      </c>
      <c r="H123" s="38" t="n">
        <v>0</v>
      </c>
      <c r="I123" s="41" t="inlineStr">
        <is>
          <t>Not Started</t>
        </is>
      </c>
      <c r="J123" s="39" t="inlineStr"/>
    </row>
    <row r="124" outlineLevel="1" ht="20" customHeight="1">
      <c r="A124" s="25" t="n">
        <v>103</v>
      </c>
      <c r="B124" s="26" t="inlineStr">
        <is>
          <t>Task</t>
        </is>
      </c>
      <c r="C124" s="27" t="inlineStr">
        <is>
          <t>Phase 10: Training</t>
        </is>
      </c>
      <c r="D124" s="28" t="inlineStr">
        <is>
          <t>End-User Training Rollout</t>
        </is>
      </c>
      <c r="E124" s="29" t="n">
        <v>46048</v>
      </c>
      <c r="F124" s="29" t="n">
        <v>46052</v>
      </c>
      <c r="G124" s="27" t="inlineStr">
        <is>
          <t>Poppy White</t>
        </is>
      </c>
      <c r="H124" s="30" t="n">
        <v>0</v>
      </c>
      <c r="I124" s="41" t="inlineStr">
        <is>
          <t>Not Started</t>
        </is>
      </c>
      <c r="J124" s="32" t="inlineStr">
        <is>
          <t>3 sessions planned</t>
        </is>
      </c>
    </row>
    <row r="125" outlineLevel="1" ht="20" customHeight="1">
      <c r="A125" s="33" t="n">
        <v>104</v>
      </c>
      <c r="B125" s="34" t="inlineStr">
        <is>
          <t>Subtask</t>
        </is>
      </c>
      <c r="C125" s="35" t="inlineStr">
        <is>
          <t>Phase 10: Training</t>
        </is>
      </c>
      <c r="D125" s="36" t="inlineStr">
        <is>
          <t xml:space="preserve">    ↳  Training session 1 – Finance</t>
        </is>
      </c>
      <c r="E125" s="37" t="n">
        <v>46055</v>
      </c>
      <c r="F125" s="37" t="n">
        <v>46055</v>
      </c>
      <c r="G125" s="35" t="inlineStr">
        <is>
          <t>Poppy White</t>
        </is>
      </c>
      <c r="H125" s="38" t="n">
        <v>0</v>
      </c>
      <c r="I125" s="41" t="inlineStr">
        <is>
          <t>Not Started</t>
        </is>
      </c>
      <c r="J125" s="39" t="inlineStr"/>
    </row>
    <row r="126" outlineLevel="1" ht="20" customHeight="1">
      <c r="A126" s="33" t="n">
        <v>105</v>
      </c>
      <c r="B126" s="34" t="inlineStr">
        <is>
          <t>Subtask</t>
        </is>
      </c>
      <c r="C126" s="35" t="inlineStr">
        <is>
          <t>Phase 10: Training</t>
        </is>
      </c>
      <c r="D126" s="36" t="inlineStr">
        <is>
          <t xml:space="preserve">    ↳  Training session 2 – Operations</t>
        </is>
      </c>
      <c r="E126" s="37" t="n">
        <v>46055</v>
      </c>
      <c r="F126" s="37" t="n">
        <v>46055</v>
      </c>
      <c r="G126" s="35" t="inlineStr">
        <is>
          <t>Poppy White</t>
        </is>
      </c>
      <c r="H126" s="38" t="n">
        <v>0</v>
      </c>
      <c r="I126" s="41" t="inlineStr">
        <is>
          <t>Not Started</t>
        </is>
      </c>
      <c r="J126" s="39" t="inlineStr"/>
    </row>
    <row r="127" outlineLevel="1" ht="20" customHeight="1">
      <c r="A127" s="33" t="n">
        <v>106</v>
      </c>
      <c r="B127" s="34" t="inlineStr">
        <is>
          <t>Subtask</t>
        </is>
      </c>
      <c r="C127" s="35" t="inlineStr">
        <is>
          <t>Phase 10: Training</t>
        </is>
      </c>
      <c r="D127" s="36" t="inlineStr">
        <is>
          <t xml:space="preserve">    ↳  Training session 3 – Management</t>
        </is>
      </c>
      <c r="E127" s="37" t="n">
        <v>46055</v>
      </c>
      <c r="F127" s="37" t="n">
        <v>46055</v>
      </c>
      <c r="G127" s="35" t="inlineStr">
        <is>
          <t>Poppy White</t>
        </is>
      </c>
      <c r="H127" s="38" t="n">
        <v>0</v>
      </c>
      <c r="I127" s="41" t="inlineStr">
        <is>
          <t>Not Started</t>
        </is>
      </c>
      <c r="J127" s="39" t="inlineStr"/>
    </row>
    <row r="128" outlineLevel="1" ht="20" customHeight="1">
      <c r="A128" s="25" t="n">
        <v>107</v>
      </c>
      <c r="B128" s="26" t="inlineStr">
        <is>
          <t>Task</t>
        </is>
      </c>
      <c r="C128" s="27" t="inlineStr">
        <is>
          <t>Phase 10: Training</t>
        </is>
      </c>
      <c r="D128" s="28" t="inlineStr">
        <is>
          <t>Training Completion &amp; Sign-off</t>
        </is>
      </c>
      <c r="E128" s="29" t="n">
        <v>46055</v>
      </c>
      <c r="F128" s="29" t="n">
        <v>46056</v>
      </c>
      <c r="G128" s="27" t="inlineStr">
        <is>
          <t>George Harris</t>
        </is>
      </c>
      <c r="H128" s="30" t="n">
        <v>0</v>
      </c>
      <c r="I128" s="41" t="inlineStr">
        <is>
          <t>Not Started</t>
        </is>
      </c>
      <c r="J128" s="32" t="inlineStr"/>
    </row>
    <row r="129" ht="24" customHeight="1">
      <c r="A129" s="23" t="inlineStr"/>
      <c r="B129" s="23" t="inlineStr">
        <is>
          <t>Phase</t>
        </is>
      </c>
      <c r="C129" s="23" t="inlineStr">
        <is>
          <t>Phase 11: Go-Live</t>
        </is>
      </c>
      <c r="D129" s="23" t="inlineStr">
        <is>
          <t>Phase 11: Go-Live</t>
        </is>
      </c>
      <c r="E129" s="24" t="n">
        <v>46057</v>
      </c>
      <c r="F129" s="24" t="n">
        <v>46077</v>
      </c>
      <c r="G129" s="23" t="inlineStr"/>
      <c r="H129" s="23" t="inlineStr"/>
      <c r="I129" s="23" t="inlineStr"/>
      <c r="J129" s="23" t="inlineStr"/>
    </row>
    <row r="130" outlineLevel="1" ht="20" customHeight="1">
      <c r="A130" s="25" t="n">
        <v>108</v>
      </c>
      <c r="B130" s="26" t="inlineStr">
        <is>
          <t>Task</t>
        </is>
      </c>
      <c r="C130" s="27" t="inlineStr">
        <is>
          <t>Phase 11: Go-Live</t>
        </is>
      </c>
      <c r="D130" s="28" t="inlineStr">
        <is>
          <t>Go / No-Go Decision Meeting</t>
        </is>
      </c>
      <c r="E130" s="29" t="n">
        <v>46057</v>
      </c>
      <c r="F130" s="29" t="n">
        <v>46057</v>
      </c>
      <c r="G130" s="27" t="inlineStr">
        <is>
          <t>Archie Martin</t>
        </is>
      </c>
      <c r="H130" s="30" t="n">
        <v>0</v>
      </c>
      <c r="I130" s="41" t="inlineStr">
        <is>
          <t>Not Started</t>
        </is>
      </c>
      <c r="J130" s="32" t="inlineStr">
        <is>
          <t>All leads to attend</t>
        </is>
      </c>
    </row>
    <row r="131" outlineLevel="1" ht="20" customHeight="1">
      <c r="A131" s="33" t="n">
        <v>109</v>
      </c>
      <c r="B131" s="34" t="inlineStr">
        <is>
          <t>Subtask</t>
        </is>
      </c>
      <c r="C131" s="35" t="inlineStr">
        <is>
          <t>Phase 11: Go-Live</t>
        </is>
      </c>
      <c r="D131" s="36" t="inlineStr">
        <is>
          <t xml:space="preserve">    ↳  Readiness assessment review</t>
        </is>
      </c>
      <c r="E131" s="37" t="n">
        <v>46058</v>
      </c>
      <c r="F131" s="37" t="n">
        <v>46058</v>
      </c>
      <c r="G131" s="35" t="inlineStr">
        <is>
          <t>James Thornton</t>
        </is>
      </c>
      <c r="H131" s="38" t="n">
        <v>0</v>
      </c>
      <c r="I131" s="41" t="inlineStr">
        <is>
          <t>Not Started</t>
        </is>
      </c>
      <c r="J131" s="39" t="inlineStr"/>
    </row>
    <row r="132" outlineLevel="1" ht="20" customHeight="1">
      <c r="A132" s="33" t="n">
        <v>110</v>
      </c>
      <c r="B132" s="34" t="inlineStr">
        <is>
          <t>Subtask</t>
        </is>
      </c>
      <c r="C132" s="35" t="inlineStr">
        <is>
          <t>Phase 11: Go-Live</t>
        </is>
      </c>
      <c r="D132" s="36" t="inlineStr">
        <is>
          <t xml:space="preserve">    ↳  Formal go/no-go sign-off</t>
        </is>
      </c>
      <c r="E132" s="37" t="n">
        <v>46058</v>
      </c>
      <c r="F132" s="37" t="n">
        <v>46058</v>
      </c>
      <c r="G132" s="35" t="inlineStr">
        <is>
          <t>Archie Martin</t>
        </is>
      </c>
      <c r="H132" s="38" t="n">
        <v>0</v>
      </c>
      <c r="I132" s="41" t="inlineStr">
        <is>
          <t>Not Started</t>
        </is>
      </c>
      <c r="J132" s="39" t="inlineStr"/>
    </row>
    <row r="133" outlineLevel="1" ht="20" customHeight="1">
      <c r="A133" s="25" t="n">
        <v>111</v>
      </c>
      <c r="B133" s="26" t="inlineStr">
        <is>
          <t>Task</t>
        </is>
      </c>
      <c r="C133" s="27" t="inlineStr">
        <is>
          <t>Phase 11: Go-Live</t>
        </is>
      </c>
      <c r="D133" s="28" t="inlineStr">
        <is>
          <t>Production Deployment</t>
        </is>
      </c>
      <c r="E133" s="29" t="n">
        <v>46058</v>
      </c>
      <c r="F133" s="29" t="n">
        <v>46059</v>
      </c>
      <c r="G133" s="27" t="inlineStr">
        <is>
          <t>Isla Roberts</t>
        </is>
      </c>
      <c r="H133" s="30" t="n">
        <v>0</v>
      </c>
      <c r="I133" s="41" t="inlineStr">
        <is>
          <t>Not Started</t>
        </is>
      </c>
      <c r="J133" s="32" t="inlineStr">
        <is>
          <t>Scheduled weekend deployment</t>
        </is>
      </c>
    </row>
    <row r="134" outlineLevel="1" ht="20" customHeight="1">
      <c r="A134" s="33" t="n">
        <v>112</v>
      </c>
      <c r="B134" s="34" t="inlineStr">
        <is>
          <t>Subtask</t>
        </is>
      </c>
      <c r="C134" s="35" t="inlineStr">
        <is>
          <t>Phase 11: Go-Live</t>
        </is>
      </c>
      <c r="D134" s="36" t="inlineStr">
        <is>
          <t xml:space="preserve">    ↳  Pre-deployment checks</t>
        </is>
      </c>
      <c r="E134" s="37" t="n">
        <v>46062</v>
      </c>
      <c r="F134" s="37" t="n">
        <v>46062</v>
      </c>
      <c r="G134" s="35" t="inlineStr">
        <is>
          <t>Isla Roberts</t>
        </is>
      </c>
      <c r="H134" s="38" t="n">
        <v>0</v>
      </c>
      <c r="I134" s="41" t="inlineStr">
        <is>
          <t>Not Started</t>
        </is>
      </c>
      <c r="J134" s="39" t="inlineStr"/>
    </row>
    <row r="135" outlineLevel="1" ht="20" customHeight="1">
      <c r="A135" s="33" t="n">
        <v>113</v>
      </c>
      <c r="B135" s="34" t="inlineStr">
        <is>
          <t>Subtask</t>
        </is>
      </c>
      <c r="C135" s="35" t="inlineStr">
        <is>
          <t>Phase 11: Go-Live</t>
        </is>
      </c>
      <c r="D135" s="36" t="inlineStr">
        <is>
          <t xml:space="preserve">    ↳  Deployment execution</t>
        </is>
      </c>
      <c r="E135" s="37" t="n">
        <v>46062</v>
      </c>
      <c r="F135" s="37" t="n">
        <v>46062</v>
      </c>
      <c r="G135" s="35" t="inlineStr">
        <is>
          <t>Isla Roberts</t>
        </is>
      </c>
      <c r="H135" s="38" t="n">
        <v>0</v>
      </c>
      <c r="I135" s="41" t="inlineStr">
        <is>
          <t>Not Started</t>
        </is>
      </c>
      <c r="J135" s="39" t="inlineStr"/>
    </row>
    <row r="136" outlineLevel="1" ht="20" customHeight="1">
      <c r="A136" s="33" t="n">
        <v>114</v>
      </c>
      <c r="B136" s="34" t="inlineStr">
        <is>
          <t>Subtask</t>
        </is>
      </c>
      <c r="C136" s="35" t="inlineStr">
        <is>
          <t>Phase 11: Go-Live</t>
        </is>
      </c>
      <c r="D136" s="36" t="inlineStr">
        <is>
          <t xml:space="preserve">    ↳  Smoke testing post-deployment</t>
        </is>
      </c>
      <c r="E136" s="37" t="n">
        <v>46062</v>
      </c>
      <c r="F136" s="37" t="n">
        <v>46062</v>
      </c>
      <c r="G136" s="35" t="inlineStr">
        <is>
          <t>Sophie Bennett</t>
        </is>
      </c>
      <c r="H136" s="38" t="n">
        <v>0</v>
      </c>
      <c r="I136" s="41" t="inlineStr">
        <is>
          <t>Not Started</t>
        </is>
      </c>
      <c r="J136" s="39" t="inlineStr"/>
    </row>
    <row r="137" outlineLevel="1" ht="20" customHeight="1">
      <c r="A137" s="25" t="n">
        <v>115</v>
      </c>
      <c r="B137" s="26" t="inlineStr">
        <is>
          <t>Task</t>
        </is>
      </c>
      <c r="C137" s="27" t="inlineStr">
        <is>
          <t>Phase 11: Go-Live</t>
        </is>
      </c>
      <c r="D137" s="28" t="inlineStr">
        <is>
          <t>Hypercare Support Period</t>
        </is>
      </c>
      <c r="E137" s="29" t="n">
        <v>46062</v>
      </c>
      <c r="F137" s="29" t="n">
        <v>46073</v>
      </c>
      <c r="G137" s="27" t="inlineStr">
        <is>
          <t>David Patel</t>
        </is>
      </c>
      <c r="H137" s="30" t="n">
        <v>0</v>
      </c>
      <c r="I137" s="41" t="inlineStr">
        <is>
          <t>Not Started</t>
        </is>
      </c>
      <c r="J137" s="32" t="inlineStr">
        <is>
          <t>2-week hypercare window</t>
        </is>
      </c>
    </row>
    <row r="138" outlineLevel="1" ht="20" customHeight="1">
      <c r="A138" s="33" t="n">
        <v>116</v>
      </c>
      <c r="B138" s="34" t="inlineStr">
        <is>
          <t>Subtask</t>
        </is>
      </c>
      <c r="C138" s="35" t="inlineStr">
        <is>
          <t>Phase 11: Go-Live</t>
        </is>
      </c>
      <c r="D138" s="36" t="inlineStr">
        <is>
          <t xml:space="preserve">    ↳  24/7 on-call support rota</t>
        </is>
      </c>
      <c r="E138" s="37" t="n">
        <v>46076</v>
      </c>
      <c r="F138" s="37" t="n">
        <v>46080</v>
      </c>
      <c r="G138" s="35" t="inlineStr">
        <is>
          <t>David Patel</t>
        </is>
      </c>
      <c r="H138" s="38" t="n">
        <v>0</v>
      </c>
      <c r="I138" s="41" t="inlineStr">
        <is>
          <t>Not Started</t>
        </is>
      </c>
      <c r="J138" s="39" t="inlineStr"/>
    </row>
    <row r="139" outlineLevel="1" ht="20" customHeight="1">
      <c r="A139" s="33" t="n">
        <v>117</v>
      </c>
      <c r="B139" s="34" t="inlineStr">
        <is>
          <t>Subtask</t>
        </is>
      </c>
      <c r="C139" s="35" t="inlineStr">
        <is>
          <t>Phase 11: Go-Live</t>
        </is>
      </c>
      <c r="D139" s="36" t="inlineStr">
        <is>
          <t xml:space="preserve">    ↳  Issue triage &amp; resolution</t>
        </is>
      </c>
      <c r="E139" s="37" t="n">
        <v>46076</v>
      </c>
      <c r="F139" s="37" t="n">
        <v>46080</v>
      </c>
      <c r="G139" s="35" t="inlineStr">
        <is>
          <t>Emma Clarke</t>
        </is>
      </c>
      <c r="H139" s="38" t="n">
        <v>0</v>
      </c>
      <c r="I139" s="41" t="inlineStr">
        <is>
          <t>Not Started</t>
        </is>
      </c>
      <c r="J139" s="39" t="inlineStr"/>
    </row>
    <row r="140" outlineLevel="1" ht="20" customHeight="1">
      <c r="A140" s="25" t="n">
        <v>118</v>
      </c>
      <c r="B140" s="26" t="inlineStr">
        <is>
          <t>Task</t>
        </is>
      </c>
      <c r="C140" s="27" t="inlineStr">
        <is>
          <t>Phase 11: Go-Live</t>
        </is>
      </c>
      <c r="D140" s="28" t="inlineStr">
        <is>
          <t>Post Go-Live Review</t>
        </is>
      </c>
      <c r="E140" s="29" t="n">
        <v>46076</v>
      </c>
      <c r="F140" s="29" t="n">
        <v>46077</v>
      </c>
      <c r="G140" s="27" t="inlineStr">
        <is>
          <t>James Thornton</t>
        </is>
      </c>
      <c r="H140" s="30" t="n">
        <v>0</v>
      </c>
      <c r="I140" s="41" t="inlineStr">
        <is>
          <t>Not Started</t>
        </is>
      </c>
      <c r="J140" s="32" t="inlineStr"/>
    </row>
    <row r="141" ht="24" customHeight="1">
      <c r="A141" s="23" t="inlineStr"/>
      <c r="B141" s="23" t="inlineStr">
        <is>
          <t>Phase</t>
        </is>
      </c>
      <c r="C141" s="23" t="inlineStr">
        <is>
          <t>Phase 12: Project Closure</t>
        </is>
      </c>
      <c r="D141" s="23" t="inlineStr">
        <is>
          <t>Phase 12: Project Closure</t>
        </is>
      </c>
      <c r="E141" s="24" t="n">
        <v>46083</v>
      </c>
      <c r="F141" s="24" t="n">
        <v>46104</v>
      </c>
      <c r="G141" s="23" t="inlineStr"/>
      <c r="H141" s="23" t="inlineStr"/>
      <c r="I141" s="23" t="inlineStr"/>
      <c r="J141" s="23" t="inlineStr"/>
    </row>
    <row r="142" outlineLevel="1" ht="20" customHeight="1">
      <c r="A142" s="25" t="n">
        <v>119</v>
      </c>
      <c r="B142" s="26" t="inlineStr">
        <is>
          <t>Task</t>
        </is>
      </c>
      <c r="C142" s="27" t="inlineStr">
        <is>
          <t>Phase 12: Project Closure</t>
        </is>
      </c>
      <c r="D142" s="28" t="inlineStr">
        <is>
          <t>Lessons Learned Workshop</t>
        </is>
      </c>
      <c r="E142" s="29" t="n">
        <v>46083</v>
      </c>
      <c r="F142" s="29" t="n">
        <v>46084</v>
      </c>
      <c r="G142" s="27" t="inlineStr">
        <is>
          <t>James Thornton</t>
        </is>
      </c>
      <c r="H142" s="30" t="n">
        <v>0</v>
      </c>
      <c r="I142" s="41" t="inlineStr">
        <is>
          <t>Not Started</t>
        </is>
      </c>
      <c r="J142" s="32" t="inlineStr">
        <is>
          <t>All team members to contribute</t>
        </is>
      </c>
    </row>
    <row r="143" outlineLevel="1" ht="20" customHeight="1">
      <c r="A143" s="33" t="n">
        <v>120</v>
      </c>
      <c r="B143" s="34" t="inlineStr">
        <is>
          <t>Subtask</t>
        </is>
      </c>
      <c r="C143" s="35" t="inlineStr">
        <is>
          <t>Phase 12: Project Closure</t>
        </is>
      </c>
      <c r="D143" s="36" t="inlineStr">
        <is>
          <t xml:space="preserve">    ↳  Facilitate lessons learned session</t>
        </is>
      </c>
      <c r="E143" s="37" t="n">
        <v>46085</v>
      </c>
      <c r="F143" s="37" t="n">
        <v>46085</v>
      </c>
      <c r="G143" s="35" t="inlineStr">
        <is>
          <t>James Thornton</t>
        </is>
      </c>
      <c r="H143" s="38" t="n">
        <v>0</v>
      </c>
      <c r="I143" s="41" t="inlineStr">
        <is>
          <t>Not Started</t>
        </is>
      </c>
      <c r="J143" s="39" t="inlineStr"/>
    </row>
    <row r="144" outlineLevel="1" ht="20" customHeight="1">
      <c r="A144" s="33" t="n">
        <v>121</v>
      </c>
      <c r="B144" s="34" t="inlineStr">
        <is>
          <t>Subtask</t>
        </is>
      </c>
      <c r="C144" s="35" t="inlineStr">
        <is>
          <t>Phase 12: Project Closure</t>
        </is>
      </c>
      <c r="D144" s="36" t="inlineStr">
        <is>
          <t xml:space="preserve">    ↳  Document and distribute outcomes</t>
        </is>
      </c>
      <c r="E144" s="37" t="n">
        <v>46085</v>
      </c>
      <c r="F144" s="37" t="n">
        <v>46085</v>
      </c>
      <c r="G144" s="35" t="inlineStr">
        <is>
          <t>Sarah Mitchell</t>
        </is>
      </c>
      <c r="H144" s="38" t="n">
        <v>0</v>
      </c>
      <c r="I144" s="41" t="inlineStr">
        <is>
          <t>Not Started</t>
        </is>
      </c>
      <c r="J144" s="39" t="inlineStr"/>
    </row>
    <row r="145" outlineLevel="1" ht="20" customHeight="1">
      <c r="A145" s="25" t="n">
        <v>122</v>
      </c>
      <c r="B145" s="26" t="inlineStr">
        <is>
          <t>Task</t>
        </is>
      </c>
      <c r="C145" s="27" t="inlineStr">
        <is>
          <t>Phase 12: Project Closure</t>
        </is>
      </c>
      <c r="D145" s="28" t="inlineStr">
        <is>
          <t>Final Project Documentation</t>
        </is>
      </c>
      <c r="E145" s="29" t="n">
        <v>46085</v>
      </c>
      <c r="F145" s="29" t="n">
        <v>46091</v>
      </c>
      <c r="G145" s="27" t="inlineStr">
        <is>
          <t>Sarah Mitchell</t>
        </is>
      </c>
      <c r="H145" s="30" t="n">
        <v>0</v>
      </c>
      <c r="I145" s="41" t="inlineStr">
        <is>
          <t>Not Started</t>
        </is>
      </c>
      <c r="J145" s="32" t="inlineStr"/>
    </row>
    <row r="146" outlineLevel="1" ht="20" customHeight="1">
      <c r="A146" s="33" t="n">
        <v>123</v>
      </c>
      <c r="B146" s="34" t="inlineStr">
        <is>
          <t>Subtask</t>
        </is>
      </c>
      <c r="C146" s="35" t="inlineStr">
        <is>
          <t>Phase 12: Project Closure</t>
        </is>
      </c>
      <c r="D146" s="36" t="inlineStr">
        <is>
          <t xml:space="preserve">    ↳  As-built documentation</t>
        </is>
      </c>
      <c r="E146" s="37" t="n">
        <v>46092</v>
      </c>
      <c r="F146" s="37" t="n">
        <v>46093</v>
      </c>
      <c r="G146" s="35" t="inlineStr">
        <is>
          <t>David Patel</t>
        </is>
      </c>
      <c r="H146" s="38" t="n">
        <v>0</v>
      </c>
      <c r="I146" s="41" t="inlineStr">
        <is>
          <t>Not Started</t>
        </is>
      </c>
      <c r="J146" s="39" t="inlineStr"/>
    </row>
    <row r="147" outlineLevel="1" ht="20" customHeight="1">
      <c r="A147" s="33" t="n">
        <v>124</v>
      </c>
      <c r="B147" s="34" t="inlineStr">
        <is>
          <t>Subtask</t>
        </is>
      </c>
      <c r="C147" s="35" t="inlineStr">
        <is>
          <t>Phase 12: Project Closure</t>
        </is>
      </c>
      <c r="D147" s="36" t="inlineStr">
        <is>
          <t xml:space="preserve">    ↳  Project archive preparation</t>
        </is>
      </c>
      <c r="E147" s="37" t="n">
        <v>46092</v>
      </c>
      <c r="F147" s="37" t="n">
        <v>46093</v>
      </c>
      <c r="G147" s="35" t="inlineStr">
        <is>
          <t>Sarah Mitchell</t>
        </is>
      </c>
      <c r="H147" s="38" t="n">
        <v>0</v>
      </c>
      <c r="I147" s="41" t="inlineStr">
        <is>
          <t>Not Started</t>
        </is>
      </c>
      <c r="J147" s="39" t="inlineStr"/>
    </row>
    <row r="148" outlineLevel="1" ht="20" customHeight="1">
      <c r="A148" s="33" t="n">
        <v>125</v>
      </c>
      <c r="B148" s="34" t="inlineStr">
        <is>
          <t>Subtask</t>
        </is>
      </c>
      <c r="C148" s="35" t="inlineStr">
        <is>
          <t>Phase 12: Project Closure</t>
        </is>
      </c>
      <c r="D148" s="36" t="inlineStr">
        <is>
          <t xml:space="preserve">    ↳  Handover pack assembly</t>
        </is>
      </c>
      <c r="E148" s="37" t="n">
        <v>46092</v>
      </c>
      <c r="F148" s="37" t="n">
        <v>46092</v>
      </c>
      <c r="G148" s="35" t="inlineStr">
        <is>
          <t>James Thornton</t>
        </is>
      </c>
      <c r="H148" s="38" t="n">
        <v>0</v>
      </c>
      <c r="I148" s="41" t="inlineStr">
        <is>
          <t>Not Started</t>
        </is>
      </c>
      <c r="J148" s="39" t="inlineStr"/>
    </row>
    <row r="149" outlineLevel="1" ht="20" customHeight="1">
      <c r="A149" s="25" t="n">
        <v>126</v>
      </c>
      <c r="B149" s="26" t="inlineStr">
        <is>
          <t>Task</t>
        </is>
      </c>
      <c r="C149" s="27" t="inlineStr">
        <is>
          <t>Phase 12: Project Closure</t>
        </is>
      </c>
      <c r="D149" s="28" t="inlineStr">
        <is>
          <t>Project Formal Handover</t>
        </is>
      </c>
      <c r="E149" s="29" t="n">
        <v>46092</v>
      </c>
      <c r="F149" s="29" t="n">
        <v>46092</v>
      </c>
      <c r="G149" s="27" t="inlineStr">
        <is>
          <t>Archie Martin</t>
        </is>
      </c>
      <c r="H149" s="30" t="n">
        <v>0</v>
      </c>
      <c r="I149" s="41" t="inlineStr">
        <is>
          <t>Not Started</t>
        </is>
      </c>
      <c r="J149" s="32" t="inlineStr"/>
    </row>
    <row r="150" outlineLevel="1" ht="20" customHeight="1">
      <c r="A150" s="25" t="n">
        <v>127</v>
      </c>
      <c r="B150" s="26" t="inlineStr">
        <is>
          <t>Task</t>
        </is>
      </c>
      <c r="C150" s="27" t="inlineStr">
        <is>
          <t>Phase 12: Project Closure</t>
        </is>
      </c>
      <c r="D150" s="28" t="inlineStr">
        <is>
          <t>Budget Reconciliation Report</t>
        </is>
      </c>
      <c r="E150" s="29" t="n">
        <v>46093</v>
      </c>
      <c r="F150" s="29" t="n">
        <v>46097</v>
      </c>
      <c r="G150" s="27" t="inlineStr">
        <is>
          <t>James Thornton</t>
        </is>
      </c>
      <c r="H150" s="30" t="n">
        <v>0</v>
      </c>
      <c r="I150" s="41" t="inlineStr">
        <is>
          <t>Not Started</t>
        </is>
      </c>
      <c r="J150" s="32" t="inlineStr"/>
    </row>
    <row r="151" outlineLevel="1" ht="20" customHeight="1">
      <c r="A151" s="25" t="n">
        <v>128</v>
      </c>
      <c r="B151" s="26" t="inlineStr">
        <is>
          <t>Task</t>
        </is>
      </c>
      <c r="C151" s="27" t="inlineStr">
        <is>
          <t>Phase 12: Project Closure</t>
        </is>
      </c>
      <c r="D151" s="28" t="inlineStr">
        <is>
          <t>Project Closure Report Sign-off</t>
        </is>
      </c>
      <c r="E151" s="29" t="n">
        <v>46098</v>
      </c>
      <c r="F151" s="29" t="n">
        <v>46099</v>
      </c>
      <c r="G151" s="27" t="inlineStr">
        <is>
          <t>Archie Martin</t>
        </is>
      </c>
      <c r="H151" s="30" t="n">
        <v>0</v>
      </c>
      <c r="I151" s="41" t="inlineStr">
        <is>
          <t>Not Started</t>
        </is>
      </c>
      <c r="J151" s="32" t="inlineStr"/>
    </row>
    <row r="152" outlineLevel="1" ht="20" customHeight="1">
      <c r="A152" s="25" t="n">
        <v>129</v>
      </c>
      <c r="B152" s="26" t="inlineStr">
        <is>
          <t>Task</t>
        </is>
      </c>
      <c r="C152" s="27" t="inlineStr">
        <is>
          <t>Phase 12: Project Closure</t>
        </is>
      </c>
      <c r="D152" s="28" t="inlineStr">
        <is>
          <t>Benefits Realisation Plan Setup</t>
        </is>
      </c>
      <c r="E152" s="29" t="n">
        <v>46100</v>
      </c>
      <c r="F152" s="29" t="n">
        <v>46104</v>
      </c>
      <c r="G152" s="27" t="inlineStr">
        <is>
          <t>George Harris</t>
        </is>
      </c>
      <c r="H152" s="30" t="n">
        <v>0</v>
      </c>
      <c r="I152" s="41" t="inlineStr">
        <is>
          <t>Not Started</t>
        </is>
      </c>
      <c r="J152" s="32" t="inlineStr">
        <is>
          <t>Handed to BAU team</t>
        </is>
      </c>
    </row>
  </sheetData>
  <mergeCells count="18">
    <mergeCell ref="A1:J1"/>
    <mergeCell ref="C7:D7"/>
    <mergeCell ref="E2:J2"/>
    <mergeCell ref="A7:B7"/>
    <mergeCell ref="E7:F7"/>
    <mergeCell ref="G7:H7"/>
    <mergeCell ref="I7:J7"/>
    <mergeCell ref="I3"/>
    <mergeCell ref="G4:J5"/>
    <mergeCell ref="J3"/>
    <mergeCell ref="B9:D9"/>
    <mergeCell ref="E9:G9"/>
    <mergeCell ref="H9:J9"/>
    <mergeCell ref="A2:D2"/>
    <mergeCell ref="C3:D3"/>
    <mergeCell ref="A3:B3"/>
    <mergeCell ref="G3:H3"/>
    <mergeCell ref="E3:F3"/>
  </mergeCells>
  <dataValidations count="4">
    <dataValidation sqref="B12:B252" showDropDown="0" showInputMessage="0" showErrorMessage="1" allowBlank="1" errorTitle="Invalid Type" error="Please select: Task, Subtask, or Phase" type="list">
      <formula1>"Task,Subtask,Phase"</formula1>
    </dataValidation>
    <dataValidation sqref="I12:I252" showDropDown="0" showInputMessage="0" showErrorMessage="1" allowBlank="1" errorTitle="Invalid Status" error="Choose: Not Started, In Progress, Completed, Overdue, or Blocked" type="list">
      <formula1>"Not Started,In Progress,Completed,Overdue,Blocked"</formula1>
    </dataValidation>
    <dataValidation sqref="G12:G252" showDropDown="0" showInputMessage="0" showErrorMessage="1" allowBlank="1" errorTitle="Invalid Resource" error="Resource must exist in the Resources sheet" type="list">
      <formula1>=Resources!$A$2:$A$50</formula1>
    </dataValidation>
    <dataValidation sqref="H12:H252" showDropDown="0" showInputMessage="0" showErrorMessage="1" allowBlank="1" errorTitle="Invalid %" error="Enter a value between 0 (0%) and 1 (100%), e.g. 0.5 = 50%" type="decimal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30" customWidth="1" min="4" max="4"/>
  </cols>
  <sheetData>
    <row r="1" ht="30" customHeight="1">
      <c r="A1" s="42" t="inlineStr">
        <is>
          <t>RESOURCE REGISTER</t>
        </is>
      </c>
    </row>
    <row r="2">
      <c r="A2" s="43" t="inlineStr">
        <is>
          <t>Name</t>
        </is>
      </c>
      <c r="B2" s="43" t="inlineStr">
        <is>
          <t>Department</t>
        </is>
      </c>
      <c r="C2" s="43" t="inlineStr">
        <is>
          <t>Role</t>
        </is>
      </c>
      <c r="D2" s="43" t="inlineStr">
        <is>
          <t>Email / Contact</t>
        </is>
      </c>
    </row>
    <row r="3">
      <c r="A3" s="44" t="inlineStr">
        <is>
          <t>James Thornton</t>
        </is>
      </c>
      <c r="B3" s="44" t="inlineStr">
        <is>
          <t>PMO</t>
        </is>
      </c>
      <c r="C3" s="44" t="inlineStr">
        <is>
          <t>Project Manager</t>
        </is>
      </c>
      <c r="D3" s="44" t="inlineStr">
        <is>
          <t>j.thornton@company.com</t>
        </is>
      </c>
    </row>
    <row r="4">
      <c r="A4" s="45" t="inlineStr">
        <is>
          <t>Sarah Mitchell</t>
        </is>
      </c>
      <c r="B4" s="45" t="inlineStr">
        <is>
          <t>PMO</t>
        </is>
      </c>
      <c r="C4" s="45" t="inlineStr">
        <is>
          <t>Project Coordinator</t>
        </is>
      </c>
      <c r="D4" s="45" t="inlineStr">
        <is>
          <t>s.mitchell@company.com</t>
        </is>
      </c>
    </row>
    <row r="5">
      <c r="A5" s="44" t="inlineStr">
        <is>
          <t>David Patel</t>
        </is>
      </c>
      <c r="B5" s="44" t="inlineStr">
        <is>
          <t>Engineering</t>
        </is>
      </c>
      <c r="C5" s="44" t="inlineStr">
        <is>
          <t>Lead Developer</t>
        </is>
      </c>
      <c r="D5" s="44" t="inlineStr">
        <is>
          <t>d.patel@company.com</t>
        </is>
      </c>
    </row>
    <row r="6">
      <c r="A6" s="45" t="inlineStr">
        <is>
          <t>Emma Clarke</t>
        </is>
      </c>
      <c r="B6" s="45" t="inlineStr">
        <is>
          <t>Engineering</t>
        </is>
      </c>
      <c r="C6" s="45" t="inlineStr">
        <is>
          <t>Senior Developer</t>
        </is>
      </c>
      <c r="D6" s="45" t="inlineStr">
        <is>
          <t>e.clarke@company.com</t>
        </is>
      </c>
    </row>
    <row r="7">
      <c r="A7" s="44" t="inlineStr">
        <is>
          <t>Liam Foster</t>
        </is>
      </c>
      <c r="B7" s="44" t="inlineStr">
        <is>
          <t>Engineering</t>
        </is>
      </c>
      <c r="C7" s="44" t="inlineStr">
        <is>
          <t>Junior Developer</t>
        </is>
      </c>
      <c r="D7" s="44" t="inlineStr">
        <is>
          <t>l.foster@company.com</t>
        </is>
      </c>
    </row>
    <row r="8">
      <c r="A8" s="45" t="inlineStr">
        <is>
          <t>Sophie Bennett</t>
        </is>
      </c>
      <c r="B8" s="45" t="inlineStr">
        <is>
          <t>QA</t>
        </is>
      </c>
      <c r="C8" s="45" t="inlineStr">
        <is>
          <t>QA Lead</t>
        </is>
      </c>
      <c r="D8" s="45" t="inlineStr">
        <is>
          <t>s.bennett@company.com</t>
        </is>
      </c>
    </row>
    <row r="9">
      <c r="A9" s="44" t="inlineStr">
        <is>
          <t>Oliver Hughes</t>
        </is>
      </c>
      <c r="B9" s="44" t="inlineStr">
        <is>
          <t>QA</t>
        </is>
      </c>
      <c r="C9" s="44" t="inlineStr">
        <is>
          <t>QA Engineer</t>
        </is>
      </c>
      <c r="D9" s="44" t="inlineStr">
        <is>
          <t>o.hughes@company.com</t>
        </is>
      </c>
    </row>
    <row r="10">
      <c r="A10" s="45" t="inlineStr">
        <is>
          <t>Charlotte Davies</t>
        </is>
      </c>
      <c r="B10" s="45" t="inlineStr">
        <is>
          <t>Design</t>
        </is>
      </c>
      <c r="C10" s="45" t="inlineStr">
        <is>
          <t>UX Designer</t>
        </is>
      </c>
      <c r="D10" s="45" t="inlineStr">
        <is>
          <t>c.davies@company.com</t>
        </is>
      </c>
    </row>
    <row r="11">
      <c r="A11" s="44" t="inlineStr">
        <is>
          <t>Noah Thompson</t>
        </is>
      </c>
      <c r="B11" s="44" t="inlineStr">
        <is>
          <t>Design</t>
        </is>
      </c>
      <c r="C11" s="44" t="inlineStr">
        <is>
          <t>UI Designer</t>
        </is>
      </c>
      <c r="D11" s="44" t="inlineStr">
        <is>
          <t>n.thompson@company.com</t>
        </is>
      </c>
    </row>
    <row r="12">
      <c r="A12" s="45" t="inlineStr">
        <is>
          <t>Amelia Wilson</t>
        </is>
      </c>
      <c r="B12" s="45" t="inlineStr">
        <is>
          <t>Business</t>
        </is>
      </c>
      <c r="C12" s="45" t="inlineStr">
        <is>
          <t>Business Analyst</t>
        </is>
      </c>
      <c r="D12" s="45" t="inlineStr">
        <is>
          <t>a.wilson@company.com</t>
        </is>
      </c>
    </row>
    <row r="13">
      <c r="A13" s="44" t="inlineStr">
        <is>
          <t>George Harris</t>
        </is>
      </c>
      <c r="B13" s="44" t="inlineStr">
        <is>
          <t>Business</t>
        </is>
      </c>
      <c r="C13" s="44" t="inlineStr">
        <is>
          <t>Product Owner</t>
        </is>
      </c>
      <c r="D13" s="44" t="inlineStr">
        <is>
          <t>g.harris@company.com</t>
        </is>
      </c>
    </row>
    <row r="14">
      <c r="A14" s="45" t="inlineStr">
        <is>
          <t>Isla Roberts</t>
        </is>
      </c>
      <c r="B14" s="45" t="inlineStr">
        <is>
          <t>Infrastructure</t>
        </is>
      </c>
      <c r="C14" s="45" t="inlineStr">
        <is>
          <t>DevOps Engineer</t>
        </is>
      </c>
      <c r="D14" s="45" t="inlineStr">
        <is>
          <t>i.roberts@company.com</t>
        </is>
      </c>
    </row>
    <row r="15">
      <c r="A15" s="44" t="inlineStr">
        <is>
          <t>Henry Walker</t>
        </is>
      </c>
      <c r="B15" s="44" t="inlineStr">
        <is>
          <t>Security</t>
        </is>
      </c>
      <c r="C15" s="44" t="inlineStr">
        <is>
          <t>Security Analyst</t>
        </is>
      </c>
      <c r="D15" s="44" t="inlineStr">
        <is>
          <t>h.walker@company.com</t>
        </is>
      </c>
    </row>
    <row r="16">
      <c r="A16" s="45" t="inlineStr">
        <is>
          <t>Poppy White</t>
        </is>
      </c>
      <c r="B16" s="45" t="inlineStr">
        <is>
          <t>Training</t>
        </is>
      </c>
      <c r="C16" s="45" t="inlineStr">
        <is>
          <t>Training Manager</t>
        </is>
      </c>
      <c r="D16" s="45" t="inlineStr">
        <is>
          <t>p.white@company.com</t>
        </is>
      </c>
    </row>
    <row r="17">
      <c r="A17" s="44" t="inlineStr">
        <is>
          <t>Archie Martin</t>
        </is>
      </c>
      <c r="B17" s="44" t="inlineStr">
        <is>
          <t>Stakeholders</t>
        </is>
      </c>
      <c r="C17" s="44" t="inlineStr">
        <is>
          <t>Executive Sponsor</t>
        </is>
      </c>
      <c r="D17" s="44" t="inlineStr">
        <is>
          <t>a.martin@company.com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20" customWidth="1" min="4" max="4"/>
    <col width="30" customWidth="1" min="5" max="5"/>
  </cols>
  <sheetData>
    <row r="1" ht="30" customHeight="1">
      <c r="A1" s="42" t="inlineStr">
        <is>
          <t>UK PUBLIC HOLIDAYS CALENDAR</t>
        </is>
      </c>
    </row>
    <row r="2" ht="30" customHeight="1">
      <c r="A2" s="46" t="inlineStr">
        <is>
          <t>⚠  Holiday dates in column B are used by VBA macros to auto-adjust task dates. Leave the Resource column blank for public holidays (applies to everyone). Add resource name for individual leave.</t>
        </is>
      </c>
    </row>
    <row r="3">
      <c r="A3" s="43" t="inlineStr">
        <is>
          <t>Holiday / Leave Name</t>
        </is>
      </c>
      <c r="B3" s="43" t="inlineStr">
        <is>
          <t>Start Date</t>
        </is>
      </c>
      <c r="C3" s="43" t="inlineStr">
        <is>
          <t>End Date</t>
        </is>
      </c>
      <c r="D3" s="43" t="inlineStr">
        <is>
          <t>Resource (blank = all)</t>
        </is>
      </c>
      <c r="E3" s="43" t="inlineStr">
        <is>
          <t>Notes</t>
        </is>
      </c>
    </row>
    <row r="4" ht="20" customHeight="1">
      <c r="A4" s="47" t="inlineStr">
        <is>
          <t>── 2025 Public Holidays ──</t>
        </is>
      </c>
    </row>
    <row r="5">
      <c r="A5" s="44" t="inlineStr">
        <is>
          <t>New Year's Day</t>
        </is>
      </c>
      <c r="B5" s="48" t="n">
        <v>45658</v>
      </c>
      <c r="C5" s="48" t="n">
        <v>45658</v>
      </c>
      <c r="D5" s="44" t="inlineStr"/>
      <c r="E5" s="44" t="inlineStr">
        <is>
          <t>England &amp; Wales</t>
        </is>
      </c>
    </row>
    <row r="6">
      <c r="A6" s="49" t="inlineStr">
        <is>
          <t>Good Friday</t>
        </is>
      </c>
      <c r="B6" s="50" t="n">
        <v>45765</v>
      </c>
      <c r="C6" s="50" t="n">
        <v>45765</v>
      </c>
      <c r="D6" s="49" t="inlineStr"/>
      <c r="E6" s="49" t="inlineStr">
        <is>
          <t>England &amp; Wales</t>
        </is>
      </c>
    </row>
    <row r="7">
      <c r="A7" s="44" t="inlineStr">
        <is>
          <t>Easter Monday</t>
        </is>
      </c>
      <c r="B7" s="48" t="n">
        <v>45768</v>
      </c>
      <c r="C7" s="48" t="n">
        <v>45768</v>
      </c>
      <c r="D7" s="44" t="inlineStr"/>
      <c r="E7" s="44" t="inlineStr">
        <is>
          <t>England &amp; Wales</t>
        </is>
      </c>
    </row>
    <row r="8">
      <c r="A8" s="49" t="inlineStr">
        <is>
          <t>Early May Bank Holiday</t>
        </is>
      </c>
      <c r="B8" s="50" t="n">
        <v>45782</v>
      </c>
      <c r="C8" s="50" t="n">
        <v>45782</v>
      </c>
      <c r="D8" s="49" t="inlineStr"/>
      <c r="E8" s="49" t="inlineStr">
        <is>
          <t>England &amp; Wales</t>
        </is>
      </c>
    </row>
    <row r="9">
      <c r="A9" s="44" t="inlineStr">
        <is>
          <t>Spring Bank Holiday</t>
        </is>
      </c>
      <c r="B9" s="48" t="n">
        <v>45803</v>
      </c>
      <c r="C9" s="48" t="n">
        <v>45803</v>
      </c>
      <c r="D9" s="44" t="inlineStr"/>
      <c r="E9" s="44" t="inlineStr">
        <is>
          <t>England &amp; Wales</t>
        </is>
      </c>
    </row>
    <row r="10">
      <c r="A10" s="49" t="inlineStr">
        <is>
          <t>Summer Bank Holiday</t>
        </is>
      </c>
      <c r="B10" s="50" t="n">
        <v>45894</v>
      </c>
      <c r="C10" s="50" t="n">
        <v>45894</v>
      </c>
      <c r="D10" s="49" t="inlineStr"/>
      <c r="E10" s="49" t="inlineStr">
        <is>
          <t>England &amp; Wales</t>
        </is>
      </c>
    </row>
    <row r="11">
      <c r="A11" s="44" t="inlineStr">
        <is>
          <t>Christmas Day</t>
        </is>
      </c>
      <c r="B11" s="48" t="n">
        <v>46016</v>
      </c>
      <c r="C11" s="48" t="n">
        <v>46016</v>
      </c>
      <c r="D11" s="44" t="inlineStr"/>
      <c r="E11" s="44" t="inlineStr">
        <is>
          <t>England &amp; Wales</t>
        </is>
      </c>
    </row>
    <row r="12">
      <c r="A12" s="49" t="inlineStr">
        <is>
          <t>Boxing Day</t>
        </is>
      </c>
      <c r="B12" s="50" t="n">
        <v>46017</v>
      </c>
      <c r="C12" s="50" t="n">
        <v>46017</v>
      </c>
      <c r="D12" s="49" t="inlineStr"/>
      <c r="E12" s="49" t="inlineStr">
        <is>
          <t>England &amp; Wales</t>
        </is>
      </c>
    </row>
    <row r="13" ht="20" customHeight="1">
      <c r="A13" s="47" t="inlineStr">
        <is>
          <t>── 2026 Public Holidays ──</t>
        </is>
      </c>
    </row>
    <row r="14">
      <c r="A14" s="49" t="inlineStr">
        <is>
          <t>New Year's Day</t>
        </is>
      </c>
      <c r="B14" s="50" t="n">
        <v>46023</v>
      </c>
      <c r="C14" s="50" t="n">
        <v>46023</v>
      </c>
      <c r="D14" s="49" t="inlineStr"/>
      <c r="E14" s="49" t="inlineStr">
        <is>
          <t>England &amp; Wales</t>
        </is>
      </c>
    </row>
    <row r="15">
      <c r="A15" s="44" t="inlineStr">
        <is>
          <t>Good Friday</t>
        </is>
      </c>
      <c r="B15" s="48" t="n">
        <v>46115</v>
      </c>
      <c r="C15" s="48" t="n">
        <v>46115</v>
      </c>
      <c r="D15" s="44" t="inlineStr"/>
      <c r="E15" s="44" t="inlineStr">
        <is>
          <t>England &amp; Wales</t>
        </is>
      </c>
    </row>
    <row r="16">
      <c r="A16" s="49" t="inlineStr">
        <is>
          <t>Easter Monday</t>
        </is>
      </c>
      <c r="B16" s="50" t="n">
        <v>46118</v>
      </c>
      <c r="C16" s="50" t="n">
        <v>46118</v>
      </c>
      <c r="D16" s="49" t="inlineStr"/>
      <c r="E16" s="49" t="inlineStr">
        <is>
          <t>England &amp; Wales</t>
        </is>
      </c>
    </row>
    <row r="17">
      <c r="A17" s="44" t="inlineStr">
        <is>
          <t>Early May Bank Holiday</t>
        </is>
      </c>
      <c r="B17" s="48" t="n">
        <v>46146</v>
      </c>
      <c r="C17" s="48" t="n">
        <v>46146</v>
      </c>
      <c r="D17" s="44" t="inlineStr"/>
      <c r="E17" s="44" t="inlineStr">
        <is>
          <t>England &amp; Wales</t>
        </is>
      </c>
    </row>
    <row r="18">
      <c r="A18" s="49" t="inlineStr">
        <is>
          <t>Spring Bank Holiday</t>
        </is>
      </c>
      <c r="B18" s="50" t="n">
        <v>46167</v>
      </c>
      <c r="C18" s="50" t="n">
        <v>46167</v>
      </c>
      <c r="D18" s="49" t="inlineStr"/>
      <c r="E18" s="49" t="inlineStr">
        <is>
          <t>England &amp; Wales</t>
        </is>
      </c>
    </row>
    <row r="19">
      <c r="A19" s="44" t="inlineStr">
        <is>
          <t>Summer Bank Holiday</t>
        </is>
      </c>
      <c r="B19" s="48" t="n">
        <v>46265</v>
      </c>
      <c r="C19" s="48" t="n">
        <v>46265</v>
      </c>
      <c r="D19" s="44" t="inlineStr"/>
      <c r="E19" s="44" t="inlineStr">
        <is>
          <t>England &amp; Wales</t>
        </is>
      </c>
    </row>
    <row r="20">
      <c r="A20" s="49" t="inlineStr">
        <is>
          <t>Christmas Day</t>
        </is>
      </c>
      <c r="B20" s="50" t="n">
        <v>46381</v>
      </c>
      <c r="C20" s="50" t="n">
        <v>46381</v>
      </c>
      <c r="D20" s="49" t="inlineStr"/>
      <c r="E20" s="49" t="inlineStr">
        <is>
          <t>England &amp; Wales</t>
        </is>
      </c>
    </row>
    <row r="21">
      <c r="A21" s="44" t="inlineStr">
        <is>
          <t>Boxing Day</t>
        </is>
      </c>
      <c r="B21" s="48" t="n">
        <v>46382</v>
      </c>
      <c r="C21" s="48" t="n">
        <v>46382</v>
      </c>
      <c r="D21" s="44" t="inlineStr"/>
      <c r="E21" s="44" t="inlineStr">
        <is>
          <t>England &amp; Wales</t>
        </is>
      </c>
    </row>
    <row r="22" ht="20" customHeight="1">
      <c r="A22" s="47" t="inlineStr">
        <is>
          <t>── 2027 Public Holidays ──</t>
        </is>
      </c>
    </row>
    <row r="23">
      <c r="A23" s="44" t="inlineStr">
        <is>
          <t>New Year's Day</t>
        </is>
      </c>
      <c r="B23" s="48" t="n">
        <v>46388</v>
      </c>
      <c r="C23" s="48" t="n">
        <v>46388</v>
      </c>
      <c r="D23" s="44" t="inlineStr"/>
      <c r="E23" s="44" t="inlineStr">
        <is>
          <t>England &amp; Wales</t>
        </is>
      </c>
    </row>
    <row r="24">
      <c r="A24" s="49" t="inlineStr">
        <is>
          <t>Good Friday</t>
        </is>
      </c>
      <c r="B24" s="50" t="n">
        <v>46472</v>
      </c>
      <c r="C24" s="50" t="n">
        <v>46472</v>
      </c>
      <c r="D24" s="49" t="inlineStr"/>
      <c r="E24" s="49" t="inlineStr">
        <is>
          <t>England &amp; Wales</t>
        </is>
      </c>
    </row>
    <row r="25">
      <c r="A25" s="44" t="inlineStr">
        <is>
          <t>Easter Monday</t>
        </is>
      </c>
      <c r="B25" s="48" t="n">
        <v>46475</v>
      </c>
      <c r="C25" s="48" t="n">
        <v>46475</v>
      </c>
      <c r="D25" s="44" t="inlineStr"/>
      <c r="E25" s="44" t="inlineStr">
        <is>
          <t>England &amp; Wales</t>
        </is>
      </c>
    </row>
    <row r="26">
      <c r="A26" s="49" t="inlineStr">
        <is>
          <t>Early May Bank Holiday</t>
        </is>
      </c>
      <c r="B26" s="50" t="n">
        <v>46510</v>
      </c>
      <c r="C26" s="50" t="n">
        <v>46510</v>
      </c>
      <c r="D26" s="49" t="inlineStr"/>
      <c r="E26" s="49" t="inlineStr">
        <is>
          <t>England &amp; Wales</t>
        </is>
      </c>
    </row>
    <row r="27">
      <c r="A27" s="44" t="inlineStr">
        <is>
          <t>Spring Bank Holiday</t>
        </is>
      </c>
      <c r="B27" s="48" t="n">
        <v>46538</v>
      </c>
      <c r="C27" s="48" t="n">
        <v>46538</v>
      </c>
      <c r="D27" s="44" t="inlineStr"/>
      <c r="E27" s="44" t="inlineStr">
        <is>
          <t>England &amp; Wales</t>
        </is>
      </c>
    </row>
    <row r="28">
      <c r="A28" s="49" t="inlineStr">
        <is>
          <t>Summer Bank Holiday</t>
        </is>
      </c>
      <c r="B28" s="50" t="n">
        <v>46629</v>
      </c>
      <c r="C28" s="50" t="n">
        <v>46629</v>
      </c>
      <c r="D28" s="49" t="inlineStr"/>
      <c r="E28" s="49" t="inlineStr">
        <is>
          <t>England &amp; Wales</t>
        </is>
      </c>
    </row>
    <row r="29">
      <c r="A29" s="44" t="inlineStr">
        <is>
          <t>Christmas Day</t>
        </is>
      </c>
      <c r="B29" s="48" t="n">
        <v>46748</v>
      </c>
      <c r="C29" s="48" t="n">
        <v>46748</v>
      </c>
      <c r="D29" s="44" t="inlineStr"/>
      <c r="E29" s="44" t="inlineStr">
        <is>
          <t>England &amp; Wales</t>
        </is>
      </c>
    </row>
    <row r="30">
      <c r="A30" s="49" t="inlineStr">
        <is>
          <t>Boxing Day</t>
        </is>
      </c>
      <c r="B30" s="50" t="n">
        <v>46749</v>
      </c>
      <c r="C30" s="50" t="n">
        <v>46749</v>
      </c>
      <c r="D30" s="49" t="inlineStr"/>
      <c r="E30" s="49" t="inlineStr">
        <is>
          <t>England &amp; Wales</t>
        </is>
      </c>
    </row>
  </sheetData>
  <mergeCells count="5">
    <mergeCell ref="A4:E4"/>
    <mergeCell ref="A2:E2"/>
    <mergeCell ref="A1:E1"/>
    <mergeCell ref="A13:E13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0" customWidth="1" min="3" max="3"/>
    <col width="20" customWidth="1" min="4" max="4"/>
  </cols>
  <sheetData>
    <row r="1" ht="30" customHeight="1">
      <c r="A1" s="42" t="inlineStr">
        <is>
          <t>STAKEHOLDER EMAIL DISTRIBUTION LIST</t>
        </is>
      </c>
    </row>
    <row r="2">
      <c r="A2" s="43" t="inlineStr">
        <is>
          <t>Name</t>
        </is>
      </c>
      <c r="B2" s="43" t="inlineStr">
        <is>
          <t>Email</t>
        </is>
      </c>
      <c r="C2" s="43" t="inlineStr">
        <is>
          <t>Type (To/CC/BCC)</t>
        </is>
      </c>
      <c r="D2" s="43" t="inlineStr">
        <is>
          <t>Organisation</t>
        </is>
      </c>
    </row>
    <row r="3">
      <c r="A3" s="44" t="inlineStr">
        <is>
          <t>Archie Martin</t>
        </is>
      </c>
      <c r="B3" s="44" t="inlineStr">
        <is>
          <t>a.martin@company.com</t>
        </is>
      </c>
      <c r="C3" s="44" t="inlineStr">
        <is>
          <t>To</t>
        </is>
      </c>
      <c r="D3" s="44" t="inlineStr">
        <is>
          <t>Executive Team</t>
        </is>
      </c>
    </row>
    <row r="4">
      <c r="A4" s="45" t="inlineStr">
        <is>
          <t>George Harris</t>
        </is>
      </c>
      <c r="B4" s="45" t="inlineStr">
        <is>
          <t>g.harris@company.com</t>
        </is>
      </c>
      <c r="C4" s="45" t="inlineStr">
        <is>
          <t>To</t>
        </is>
      </c>
      <c r="D4" s="45" t="inlineStr">
        <is>
          <t>Product</t>
        </is>
      </c>
    </row>
    <row r="5">
      <c r="A5" s="44" t="inlineStr">
        <is>
          <t>James Thornton</t>
        </is>
      </c>
      <c r="B5" s="44" t="inlineStr">
        <is>
          <t>j.thornton@company.com</t>
        </is>
      </c>
      <c r="C5" s="44" t="inlineStr">
        <is>
          <t>To</t>
        </is>
      </c>
      <c r="D5" s="44" t="inlineStr">
        <is>
          <t>PMO</t>
        </is>
      </c>
    </row>
    <row r="6">
      <c r="A6" s="45" t="inlineStr">
        <is>
          <t>David Patel</t>
        </is>
      </c>
      <c r="B6" s="45" t="inlineStr">
        <is>
          <t>d.patel@company.com</t>
        </is>
      </c>
      <c r="C6" s="45" t="inlineStr">
        <is>
          <t>CC</t>
        </is>
      </c>
      <c r="D6" s="45" t="inlineStr">
        <is>
          <t>Engineering</t>
        </is>
      </c>
    </row>
    <row r="7">
      <c r="A7" s="44" t="inlineStr">
        <is>
          <t>Sophie Bennett</t>
        </is>
      </c>
      <c r="B7" s="44" t="inlineStr">
        <is>
          <t>s.bennett@company.com</t>
        </is>
      </c>
      <c r="C7" s="44" t="inlineStr">
        <is>
          <t>CC</t>
        </is>
      </c>
      <c r="D7" s="44" t="inlineStr">
        <is>
          <t>QA</t>
        </is>
      </c>
    </row>
    <row r="8">
      <c r="A8" s="45" t="inlineStr">
        <is>
          <t>Sarah Mitchell</t>
        </is>
      </c>
      <c r="B8" s="45" t="inlineStr">
        <is>
          <t>s.mitchell@company.com</t>
        </is>
      </c>
      <c r="C8" s="45" t="inlineStr">
        <is>
          <t>CC</t>
        </is>
      </c>
      <c r="D8" s="45" t="inlineStr">
        <is>
          <t>PMO</t>
        </is>
      </c>
    </row>
    <row r="9">
      <c r="A9" s="44" t="inlineStr">
        <is>
          <t>Amelia Wilson</t>
        </is>
      </c>
      <c r="B9" s="44" t="inlineStr">
        <is>
          <t>a.wilson@company.com</t>
        </is>
      </c>
      <c r="C9" s="44" t="inlineStr">
        <is>
          <t>CC</t>
        </is>
      </c>
      <c r="D9" s="44" t="inlineStr">
        <is>
          <t>Business</t>
        </is>
      </c>
    </row>
    <row r="10">
      <c r="A10" s="45" t="inlineStr">
        <is>
          <t>Board Secretary</t>
        </is>
      </c>
      <c r="B10" s="45" t="inlineStr">
        <is>
          <t>board@company.com</t>
        </is>
      </c>
      <c r="C10" s="45" t="inlineStr">
        <is>
          <t>BCC</t>
        </is>
      </c>
      <c r="D10" s="45" t="inlineStr">
        <is>
          <t>Board</t>
        </is>
      </c>
    </row>
  </sheetData>
  <mergeCells count="1">
    <mergeCell ref="A1:D1"/>
  </mergeCells>
  <dataValidations count="1">
    <dataValidation sqref="C3:C100" showDropDown="0" showInputMessage="0" showErrorMessage="0" allowBlank="1" type="list">
      <formula1>"To,CC,BCC"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2026-06-05T08:34:12Z</dcterms:created>
  <dcterms:modified xsi:type="dcterms:W3CDTF">2026-06-05T08:34:12Z</dcterms:modified>
</cp:coreProperties>
</file>